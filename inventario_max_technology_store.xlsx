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⚪ Agotado</t>
        </is>
      </c>
      <c r="J26" s="73" t="n">
        <v>0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⚪ Agotado</t>
        </is>
      </c>
      <c r="J27" s="73" t="n">
        <v>0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🟢 En Stock</t>
        </is>
      </c>
      <c r="J36" s="73" t="n">
        <v>2</v>
      </c>
      <c r="K36" s="74" t="n">
        <v>10</v>
      </c>
      <c r="L36" s="70" t="inlineStr">
        <is>
          <t>Estante A - Nivel 2</t>
        </is>
      </c>
      <c r="M36" s="75" t="n">
        <v>152338</v>
      </c>
      <c r="N36" s="76" t="n">
        <v>0.31068466373151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IMAGENES DE PRODUCTOS/ups unipower.jpg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 | 3 unidades nuevas ingresadas (Factura FT-20168).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2</v>
      </c>
      <c r="K40" s="74" t="n">
        <v>11</v>
      </c>
      <c r="L40" s="70" t="inlineStr">
        <is>
          <t>Bodega / Taller - Estante Monitores</t>
        </is>
      </c>
      <c r="M40" s="75" t="n">
        <v>316143</v>
      </c>
      <c r="N40" s="76" t="n">
        <v>0.1893748445508835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 | 3 unidades nuevas ingresadas (Factura FT-20171).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⚪ Agotado</t>
        </is>
      </c>
      <c r="J64" s="82" t="n">
        <v>0</v>
      </c>
      <c r="K64" s="81" t="n">
        <v>0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>
        <is>
          <t xml:space="preserve"> | 1 unidad nueva ingresada (Serial: 4P2220399418, Factura FEVO 34572).</t>
        </is>
      </c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⚪ Agotado</t>
        </is>
      </c>
      <c r="J65" s="82" t="n">
        <v>0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>
      <c r="A77" s="89" t="inlineStr">
        <is>
          <t>MTS-0073</t>
        </is>
      </c>
      <c r="B77" s="79" t="inlineStr">
        <is>
          <t>Cámara de Seguridad IMOU Ranger 2 Dual 10MP (5MP+5MP) Wi-Fi 6 360° Smart Full-Color</t>
        </is>
      </c>
      <c r="C77" s="80" t="inlineStr">
        <is>
          <t>Seguridad y Videovigilancia</t>
        </is>
      </c>
      <c r="D77" s="80" t="inlineStr">
        <is>
          <t>IMOU</t>
        </is>
      </c>
      <c r="E77" s="81" t="inlineStr">
        <is>
          <t>IPC-S20EN-10M0S-3.6MM</t>
        </is>
      </c>
      <c r="F77" s="81" t="inlineStr">
        <is>
          <t>Blanco</t>
        </is>
      </c>
      <c r="G77" s="81" t="inlineStr">
        <is>
          <t>Sin código</t>
        </is>
      </c>
      <c r="H77" s="81" t="inlineStr">
        <is>
          <t>NUEVO</t>
        </is>
      </c>
      <c r="I77" s="82" t="inlineStr">
        <is>
          <t>🟢 En Stock</t>
        </is>
      </c>
      <c r="J77" s="82" t="n">
        <v>2</v>
      </c>
      <c r="K77" s="81" t="n">
        <v>2</v>
      </c>
      <c r="L77" s="81" t="inlineStr">
        <is>
          <t>Vitrina Seguridad / Taller</t>
        </is>
      </c>
      <c r="M77" s="90" t="n">
        <v>187400</v>
      </c>
      <c r="N77" s="91" t="n">
        <v>0.3007436594912668</v>
      </c>
      <c r="O77" s="92">
        <f>IF(N77&lt;1, ROUNDUP(M77/(1-N77), -3), M77)</f>
        <v/>
      </c>
      <c r="P77" s="91" t="n">
        <v>0.16</v>
      </c>
      <c r="Q77" s="90">
        <f>IF((1-N77-P77)&gt;0, ROUNDUP((M77+IF(O77&gt;=90000,20000,0))/(1-N77-P77), -3), O77)</f>
        <v/>
      </c>
      <c r="R77" s="90">
        <f>O77</f>
        <v/>
      </c>
      <c r="S77" s="90">
        <f>O77-M77</f>
        <v/>
      </c>
      <c r="T77" s="91">
        <f>IF(O77&gt;0, (O77-M77)/O77, 0)</f>
        <v/>
      </c>
      <c r="U77" s="81" t="inlineStr">
        <is>
          <t>12 Meses (1 Año Oficial IMOU)</t>
        </is>
      </c>
      <c r="V77" s="80" t="inlineStr">
        <is>
          <t>IMAGENES DE PRODUCTOS/IMOU CAMARA DUAL.jpg</t>
        </is>
      </c>
      <c r="W77" s="80" t="inlineStr">
        <is>
          <t>• Doble lente de 10MP en total: Lente fijo 5MP 3K + Lente robótico PT 5MP 3K con giro 360° e inclinación
• Cobertura simultánea: Monitorea dos áreas al mismo tiempo con una sola cámara
• Visión nocturna Smart Full-Color: 4 modos inteligentes de visión nocturna a todo color
• Conectividad Wi-Fi 6 (2.4 GHz y 5 GHz) de alta velocidad y máxima estabilidad de señal
• Detección inteligente por IA: Reconoce humanos y mascotas con seguimiento automático de movimiento
• Audio bidireccional y botón de llamada directa (One-touch call) desde la cámara al celular
• Sirena y alarma disuasoria con detección de sonidos anormales
• Puerto de alimentación USB-C y ranura para tarjeta Micro SD de hasta 512 GB.</t>
        </is>
      </c>
      <c r="X77" s="80" t="inlineStr">
        <is>
          <t>2 unidades nuevas selladas en taller. Factura FT-20168.</t>
        </is>
      </c>
    </row>
    <row r="78">
      <c r="A78" s="89" t="inlineStr">
        <is>
          <t>MTS-0074</t>
        </is>
      </c>
      <c r="B78" s="79" t="inlineStr">
        <is>
          <t>Router TP-Link Archer BE550 Tribanda Wi-Fi 7 BE9300 9.3Gbps Puertos 2.5G</t>
        </is>
      </c>
      <c r="C78" s="80" t="inlineStr">
        <is>
          <t>Redes y Conectividad</t>
        </is>
      </c>
      <c r="D78" s="80" t="inlineStr">
        <is>
          <t>TP-Link</t>
        </is>
      </c>
      <c r="E78" s="81" t="inlineStr">
        <is>
          <t>Archer BE550</t>
        </is>
      </c>
      <c r="F78" s="81" t="inlineStr">
        <is>
          <t>Negro</t>
        </is>
      </c>
      <c r="G78" s="81" t="inlineStr">
        <is>
          <t>Sin código</t>
        </is>
      </c>
      <c r="H78" s="81" t="inlineStr">
        <is>
          <t>NUEVO</t>
        </is>
      </c>
      <c r="I78" s="82" t="inlineStr">
        <is>
          <t>🟢 En Stock</t>
        </is>
      </c>
      <c r="J78" s="82" t="n">
        <v>1</v>
      </c>
      <c r="K78" s="81" t="n">
        <v>1</v>
      </c>
      <c r="L78" s="81" t="inlineStr">
        <is>
          <t>Estante Redes / Taller</t>
        </is>
      </c>
      <c r="M78" s="90" t="n">
        <v>798490</v>
      </c>
      <c r="N78" s="91" t="n">
        <v>0.2007099106205311</v>
      </c>
      <c r="O78" s="92">
        <f>IF(N78&lt;1, ROUNDUP(M78/(1-N78), -3), M78)</f>
        <v/>
      </c>
      <c r="P78" s="91" t="n">
        <v>0.16</v>
      </c>
      <c r="Q78" s="90">
        <f>IF((1-N78-P78)&gt;0, ROUNDUP((M78+IF(O78&gt;=90000,20000,0))/(1-N78-P78), -3), O78)</f>
        <v/>
      </c>
      <c r="R78" s="90">
        <f>O78</f>
        <v/>
      </c>
      <c r="S78" s="90">
        <f>O78-M78</f>
        <v/>
      </c>
      <c r="T78" s="91">
        <f>IF(O78&gt;0, (O78-M78)/O78, 0)</f>
        <v/>
      </c>
      <c r="U78" s="81" t="inlineStr">
        <is>
          <t>24 Meses (2 Años Oficial TP-Link)</t>
        </is>
      </c>
      <c r="V78" s="80" t="inlineStr">
        <is>
          <t>identidad visual max tech/Logo MAX Tech.png</t>
        </is>
      </c>
      <c r="W78" s="80" t="inlineStr">
        <is>
          <t>• Tecnología Wi-Fi 7 de última generación con velocidad tribanda extrema de hasta 9.300 Mbps (9.3 Gbps)
• Operación Multi-Link (MLO) y canales de 320 MHz para latencia ultrabaja y máxima estabilidad
• 5 puertos Ethernet 2.5 Gbps (1 puerto WAN 2.5G + 4 puertos LAN 2.5G) ideales para fibra óptica ultrarrápida
• 6 antenas internas óptimamente posicionadas con tecnología Beamforming para cobertura omnidireccional
• Puerto USB 3.0 de alta velocidad para compartir archivos y crear almacenamiento NAS local
• Procesador de alta potencia para streaming 8K/4K simultáneo, gaming profesional y realidad virtual (VR)
• Seguridad avanzada TP-Link HomeShield y compatibilidad con EasyMesh.</t>
        </is>
      </c>
      <c r="X78" s="80" t="inlineStr">
        <is>
          <t>1 unidad nueva sellada. Factura FT-20172.</t>
        </is>
      </c>
    </row>
    <row r="79">
      <c r="A79" s="89" t="inlineStr">
        <is>
          <t>MTS-0075</t>
        </is>
      </c>
      <c r="B79" s="79" t="inlineStr">
        <is>
          <t>Disco Estado Sólido SSD 2.5" SATA III 1TB (1000GB) ADATA Ultimate SU650</t>
        </is>
      </c>
      <c r="C79" s="80" t="inlineStr">
        <is>
          <t>Almacenamiento y Memorias</t>
        </is>
      </c>
      <c r="D79" s="80" t="inlineStr">
        <is>
          <t>ADATA</t>
        </is>
      </c>
      <c r="E79" s="81" t="inlineStr">
        <is>
          <t>ASU650SS-1TT-R / SU650 1TB</t>
        </is>
      </c>
      <c r="F79" s="81" t="inlineStr">
        <is>
          <t>Negro</t>
        </is>
      </c>
      <c r="G79" s="81" t="inlineStr">
        <is>
          <t>Sin código</t>
        </is>
      </c>
      <c r="H79" s="81" t="inlineStr">
        <is>
          <t>NUEVO</t>
        </is>
      </c>
      <c r="I79" s="82" t="inlineStr">
        <is>
          <t>🟢 En Stock</t>
        </is>
      </c>
      <c r="J79" s="82" t="n">
        <v>1</v>
      </c>
      <c r="K79" s="81" t="n">
        <v>1</v>
      </c>
      <c r="L79" s="81" t="inlineStr">
        <is>
          <t>Vitrina Accesorios / Taller</t>
        </is>
      </c>
      <c r="M79" s="90" t="n">
        <v>515000</v>
      </c>
      <c r="N79" s="91" t="n">
        <v>0.2015491496886042</v>
      </c>
      <c r="O79" s="92">
        <f>IF(N79&lt;1, ROUNDUP(M79/(1-N79), -3), M79)</f>
        <v/>
      </c>
      <c r="P79" s="91" t="n">
        <v>0.16</v>
      </c>
      <c r="Q79" s="90">
        <f>IF((1-N79-P79)&gt;0, ROUNDUP((M79+IF(O79&gt;=90000,20000,0))/(1-N79-P79), -3), O79)</f>
        <v/>
      </c>
      <c r="R79" s="90">
        <f>O79</f>
        <v/>
      </c>
      <c r="S79" s="90">
        <f>O79-M79</f>
        <v/>
      </c>
      <c r="T79" s="91">
        <f>IF(O79&gt;0, (O79-M79)/O79, 0)</f>
        <v/>
      </c>
      <c r="U79" s="81" t="inlineStr">
        <is>
          <t>36 Meses (3 Años Oficial ADATA)</t>
        </is>
      </c>
      <c r="V79" s="80" t="inlineStr">
        <is>
          <t>IMAGENES DE PRODUCTOS/Disco SSD 2.5 ADATA SU650 de 1TB.jpg</t>
        </is>
      </c>
      <c r="W79" s="80" t="inlineStr">
        <is>
          <t>• Capacidad: 1 TB (1.000 GB) de almacenamiento sólido
• Factor de forma: 2.5 pulgadas (7 mm de grosor, ultrafino)
• Interfaz: SATA III 6Gb/s (retrocompatible con SATA II)
• Velocidad de lectura secuencial: Hasta 520 MB/s
• Velocidad de escritura secuencial: Hasta 450 MB/s
• Tecnología: Memoria 3D NAND Flash con caché SLC y corrección de errores ECC
• Ideal para repotenciar portátiles y computadores de escritorio con máxima capacidad y velocidad.</t>
        </is>
      </c>
      <c r="X79" s="80" t="inlineStr">
        <is>
          <t>1 unidad nueva sellada. Serial: 4P3621895537. Factura FEVO 34572.</t>
        </is>
      </c>
    </row>
    <row r="80">
      <c r="A80" s="89" t="inlineStr">
        <is>
          <t>MTS-0076</t>
        </is>
      </c>
      <c r="B80" s="79" t="inlineStr">
        <is>
          <t>Caja / Cofre Externo para Disco SSD M.2 NVMe a USB 3.0 / USB-C Negro</t>
        </is>
      </c>
      <c r="C80" s="80" t="inlineStr">
        <is>
          <t>Almacenamiento y Memorias</t>
        </is>
      </c>
      <c r="D80" s="80" t="inlineStr">
        <is>
          <t>Digital MTX / OEM</t>
        </is>
      </c>
      <c r="E80" s="81" t="inlineStr">
        <is>
          <t>00003583 / CASE-M2-NVME-USB</t>
        </is>
      </c>
      <c r="F80" s="81" t="inlineStr">
        <is>
          <t>Negro</t>
        </is>
      </c>
      <c r="G80" s="81" t="inlineStr">
        <is>
          <t>Sin código</t>
        </is>
      </c>
      <c r="H80" s="81" t="inlineStr">
        <is>
          <t>NUEVO</t>
        </is>
      </c>
      <c r="I80" s="82" t="inlineStr">
        <is>
          <t>⚪ Agotado</t>
        </is>
      </c>
      <c r="J80" s="82" t="n">
        <v>0</v>
      </c>
      <c r="K80" s="81" t="n">
        <v>1</v>
      </c>
      <c r="L80" s="81" t="inlineStr">
        <is>
          <t>Vitrina Accesorios / Taller</t>
        </is>
      </c>
      <c r="M80" s="90" t="n">
        <v>45000</v>
      </c>
      <c r="N80" s="91" t="n">
        <v>0.3382255621406197</v>
      </c>
      <c r="O80" s="92">
        <f>IF(N80&lt;1, ROUNDUP(M80/(1-N80), -3), M80)</f>
        <v/>
      </c>
      <c r="P80" s="91" t="n">
        <v>0.16</v>
      </c>
      <c r="Q80" s="90">
        <f>IF((1-N80-P80)&gt;0, ROUNDUP((M80+IF(O80&gt;=90000,20000,0))/(1-N80-P80), -3), O80)</f>
        <v/>
      </c>
      <c r="R80" s="90">
        <f>O80</f>
        <v/>
      </c>
      <c r="S80" s="90">
        <f>O80-M80</f>
        <v/>
      </c>
      <c r="T80" s="91">
        <f>IF(O80&gt;0, (O80-M80)/O80, 0)</f>
        <v/>
      </c>
      <c r="U80" s="81" t="inlineStr">
        <is>
          <t>3 Meses</t>
        </is>
      </c>
      <c r="V80" s="80" t="inlineStr">
        <is>
          <t>IMAGENES DE PRODUCTOS/Caja-DiscoDuro-NVME-USB3-7326-1.webp</t>
        </is>
      </c>
      <c r="W80" s="80" t="inlineStr">
        <is>
          <t>• Compatibilidad: Discos sólidos SSD M.2 NVMe PCIe M-Key y B+M Key (tamaños 2230, 2242, 2260, 2280)
• Conexión: Interfaz USB 3.0 / USB-C de alta velocidad (transferencias de hasta 10 Gbps)
• Carcasa: Construcción metálica en aluminio negro para disipación térmica óptima
• Instalación fácil y rápida sin herramientas complicadas
• Plug &amp; Play: Compatible con Windows, macOS, Linux, Smart TV y consolas de videojuegos.</t>
        </is>
      </c>
      <c r="X80" s="80" t="inlineStr">
        <is>
          <t>1 unidad nueva. Factura FEVO 34572.</t>
        </is>
      </c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2026-10-13T17:55:46Z</dcterms:modified>
  <cp:lastModifiedBy>Viajando sinpresupuesto</cp:lastModifiedBy>
</cp:coreProperties>
</file>