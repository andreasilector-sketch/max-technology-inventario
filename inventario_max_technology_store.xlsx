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center" vertical="center"/>
    </xf>
    <xf numFmtId="166" fontId="18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6" fontId="17" fillId="0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0.602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LED 27 Pulgadas FHD 144Hz 1ms IPS (DHI-LM27-A221Y)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>
        <is>
          <t>Negro</t>
        </is>
      </c>
      <c r="G40" s="56" t="inlineStr">
        <is>
          <t>6938596001279</t>
        </is>
      </c>
      <c r="H40" s="55" t="inlineStr">
        <is>
          <t>NUEVO</t>
        </is>
      </c>
      <c r="I40" s="57" t="inlineStr">
        <is>
          <t>🟢 En Stock</t>
        </is>
      </c>
      <c r="J40" s="58" t="n">
        <v>10</v>
      </c>
      <c r="K40" s="59" t="n">
        <v>11</v>
      </c>
      <c r="L40" s="55" t="inlineStr">
        <is>
          <t>Bodega / Taller - Estante Monitores</t>
        </is>
      </c>
      <c r="M40" s="60" t="n">
        <v>311071</v>
      </c>
      <c r="N40" s="61" t="n">
        <v>0.20238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IMAGENES DE PRODUCTOS/Monitor dahua led 27 pulgadas ips 144 hz full hd.webp</t>
        </is>
      </c>
      <c r="W40" s="54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54" t="inlineStr">
        <is>
          <t>10 unidades físicas selladas. Seriales: BLR01916302500002 a BLR01916302500646. Factura FT-9364.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>
      <c r="A62" s="77" t="inlineStr">
        <is>
          <t>MTS-0059</t>
        </is>
      </c>
      <c r="B62" s="67" t="inlineStr">
        <is>
          <t>cale usb para impresora 1.5 Mtrs</t>
        </is>
      </c>
      <c r="C62" s="68" t="inlineStr">
        <is>
          <t>Tintas y Suministros</t>
        </is>
      </c>
      <c r="D62" s="68" t="inlineStr"/>
      <c r="E62" s="69" t="inlineStr"/>
      <c r="F62" s="69" t="inlineStr">
        <is>
          <t>gris</t>
        </is>
      </c>
      <c r="G62" s="69" t="inlineStr">
        <is>
          <t>80182</t>
        </is>
      </c>
      <c r="H62" s="69" t="inlineStr">
        <is>
          <t>NUEVO</t>
        </is>
      </c>
      <c r="I62" s="70" t="inlineStr">
        <is>
          <t>🟢 En Stock</t>
        </is>
      </c>
      <c r="J62" s="70" t="n">
        <v>1</v>
      </c>
      <c r="K62" s="69" t="n">
        <v>1</v>
      </c>
      <c r="L62" s="69" t="inlineStr">
        <is>
          <t>Taller</t>
        </is>
      </c>
      <c r="M62" s="78" t="n">
        <v>8000</v>
      </c>
      <c r="N62" s="79" t="n">
        <v>0.3</v>
      </c>
      <c r="O62" s="80">
        <f>IF(N62&lt;1, ROUNDUP(M62/(1-N62), -3), M62)</f>
        <v/>
      </c>
      <c r="P62" s="79" t="n">
        <v>0.16</v>
      </c>
      <c r="Q62" s="78">
        <f>IF((1-N62-P62)&gt;0, ROUNDUP((M62+IF(O62&gt;=90000,20000,0))/(1-N62-P62), -3), O62)</f>
        <v/>
      </c>
      <c r="R62" s="78">
        <f>O62</f>
        <v/>
      </c>
      <c r="S62" s="78">
        <f>O62-M62</f>
        <v/>
      </c>
      <c r="T62" s="79">
        <f>IF(O62&gt;0, (O62-M62)/O62, 0)</f>
        <v/>
      </c>
      <c r="U62" s="69" t="inlineStr">
        <is>
          <t>Garantía oficial</t>
        </is>
      </c>
      <c r="V62" s="68" t="inlineStr">
        <is>
          <t>IMAGENES DE PRODUCTOS/cable_usb_para_impresora_1.5_mtrs.webp</t>
        </is>
      </c>
      <c r="W62" s="68" t="inlineStr"/>
      <c r="X62" s="68" t="inlineStr"/>
    </row>
    <row r="63">
      <c r="A63" s="77" t="inlineStr">
        <is>
          <t>MTS-0060</t>
        </is>
      </c>
      <c r="B63" s="67" t="inlineStr">
        <is>
          <t>Hub USB 3.0 4 Puertos Follow Me</t>
        </is>
      </c>
      <c r="C63" s="68" t="inlineStr">
        <is>
          <t>Tintas y Suministros</t>
        </is>
      </c>
      <c r="D63" s="68" t="inlineStr">
        <is>
          <t>Follow me</t>
        </is>
      </c>
      <c r="E63" s="69" t="inlineStr"/>
      <c r="F63" s="69" t="inlineStr"/>
      <c r="G63" s="69" t="inlineStr"/>
      <c r="H63" s="69" t="inlineStr">
        <is>
          <t>NUEVO</t>
        </is>
      </c>
      <c r="I63" s="70" t="inlineStr">
        <is>
          <t>🟢 En Stock</t>
        </is>
      </c>
      <c r="J63" s="70" t="n">
        <v>1</v>
      </c>
      <c r="K63" s="69" t="n">
        <v>1</v>
      </c>
      <c r="L63" s="69" t="inlineStr">
        <is>
          <t>Taller</t>
        </is>
      </c>
      <c r="M63" s="78" t="n">
        <v>8000</v>
      </c>
      <c r="N63" s="79" t="n">
        <v>0.3</v>
      </c>
      <c r="O63" s="80">
        <f>IF(N63&lt;1, ROUNDUP(M63/(1-N63), -3), M63)</f>
        <v/>
      </c>
      <c r="P63" s="79" t="n">
        <v>0.16</v>
      </c>
      <c r="Q63" s="78">
        <f>IF((1-N63-P63)&gt;0, ROUNDUP((M63+IF(O63&gt;=90000,20000,0))/(1-N63-P63), -3), O63)</f>
        <v/>
      </c>
      <c r="R63" s="78">
        <f>O63</f>
        <v/>
      </c>
      <c r="S63" s="78">
        <f>O63-M63</f>
        <v/>
      </c>
      <c r="T63" s="79">
        <f>IF(O63&gt;0, (O63-M63)/O63, 0)</f>
        <v/>
      </c>
      <c r="U63" s="69" t="inlineStr">
        <is>
          <t>Garantía oficial</t>
        </is>
      </c>
      <c r="V63" s="68" t="inlineStr">
        <is>
          <t>IMAGENES DE PRODUCTOS/Hub-USB-3-4-Puertos-FollowMe-3565-1.webp</t>
        </is>
      </c>
      <c r="W63" s="68" t="inlineStr"/>
      <c r="X63" s="68" t="inlineStr"/>
    </row>
    <row r="64">
      <c r="A64" s="77" t="inlineStr">
        <is>
          <t>MTS-0061</t>
        </is>
      </c>
      <c r="B64" s="67" t="inlineStr">
        <is>
          <t>Disco Estado Sólido SSD M.2 NVMe 1TB ADATA Legend 710 PCIe Gen3 x4</t>
        </is>
      </c>
      <c r="C64" s="68" t="inlineStr">
        <is>
          <t>Almacenamiento y Memorias</t>
        </is>
      </c>
      <c r="D64" s="68" t="inlineStr">
        <is>
          <t>ADATA</t>
        </is>
      </c>
      <c r="E64" s="69" t="inlineStr">
        <is>
          <t>ALEG-710-1TCS</t>
        </is>
      </c>
      <c r="F64" s="69" t="inlineStr">
        <is>
          <t>Azul / Negro</t>
        </is>
      </c>
      <c r="G64" s="69" t="inlineStr">
        <is>
          <t>4711085635398</t>
        </is>
      </c>
      <c r="H64" s="69" t="inlineStr">
        <is>
          <t>NUEVO</t>
        </is>
      </c>
      <c r="I64" s="70" t="inlineStr">
        <is>
          <t>🟢 En Stock</t>
        </is>
      </c>
      <c r="J64" s="70" t="n">
        <v>2</v>
      </c>
      <c r="K64" s="69" t="n">
        <v>2</v>
      </c>
      <c r="L64" s="69" t="inlineStr">
        <is>
          <t>Vitrina Accesorios / Taller</t>
        </is>
      </c>
      <c r="M64" s="78" t="n">
        <v>530000</v>
      </c>
      <c r="N64" s="79" t="n">
        <v>0.2</v>
      </c>
      <c r="O64" s="80">
        <f>IF(N64&lt;1, ROUNDUP(M64/(1-N64), -3), M64)</f>
        <v/>
      </c>
      <c r="P64" s="79" t="n">
        <v>0.16</v>
      </c>
      <c r="Q64" s="78">
        <f>IF((1-N64-P64)&gt;0, ROUNDUP((M64+IF(O64&gt;=90000,20000,0))/(1-N64-P64), -3), O64)</f>
        <v/>
      </c>
      <c r="R64" s="78">
        <f>O64</f>
        <v/>
      </c>
      <c r="S64" s="78">
        <f>O64-M64</f>
        <v/>
      </c>
      <c r="T64" s="79">
        <f>IF(O64&gt;0, (O64-M64)/O64, 0)</f>
        <v/>
      </c>
      <c r="U64" s="69" t="inlineStr">
        <is>
          <t>6 Meses</t>
        </is>
      </c>
      <c r="V64" s="68" t="inlineStr">
        <is>
          <t>IMAGENES DE PRODUCTOS/ADATA_LEGEND_710_1TB.jpg</t>
        </is>
      </c>
      <c r="W64" s="68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68" t="inlineStr">
        <is>
          <t>2 unidades físicas. Seriales: 4P2220413136, 4P2220410141. Facturas FEVO 33176 y 33181.</t>
        </is>
      </c>
    </row>
    <row r="65">
      <c r="A65" s="77" t="inlineStr">
        <is>
          <t>MTS-0062</t>
        </is>
      </c>
      <c r="B65" s="67" t="inlineStr">
        <is>
          <t>Teclado para Portátil Acer Aspire E1-470 E5-471P V3-472 3830T 4830 Negro Español</t>
        </is>
      </c>
      <c r="C65" s="68" t="inlineStr">
        <is>
          <t>Periféricos y Accesorios</t>
        </is>
      </c>
      <c r="D65" s="68" t="inlineStr">
        <is>
          <t>Acer / Compatible</t>
        </is>
      </c>
      <c r="E65" s="69" t="inlineStr">
        <is>
          <t>00002272</t>
        </is>
      </c>
      <c r="F65" s="69" t="inlineStr">
        <is>
          <t>Negro</t>
        </is>
      </c>
      <c r="G65" s="69" t="inlineStr">
        <is>
          <t>Sin código</t>
        </is>
      </c>
      <c r="H65" s="69" t="inlineStr">
        <is>
          <t>NUEVO</t>
        </is>
      </c>
      <c r="I65" s="70" t="inlineStr">
        <is>
          <t>🟢 En Stock</t>
        </is>
      </c>
      <c r="J65" s="70" t="n">
        <v>1</v>
      </c>
      <c r="K65" s="69" t="n">
        <v>1</v>
      </c>
      <c r="L65" s="69" t="inlineStr">
        <is>
          <t>Taller - Repuestos</t>
        </is>
      </c>
      <c r="M65" s="78" t="n">
        <v>50000</v>
      </c>
      <c r="N65" s="79" t="n">
        <v>0.3</v>
      </c>
      <c r="O65" s="80">
        <f>IF(N65&lt;1, ROUNDUP(M65/(1-N65), -3), M65)</f>
        <v/>
      </c>
      <c r="P65" s="79" t="n">
        <v>0.16</v>
      </c>
      <c r="Q65" s="78">
        <f>IF((1-N65-P65)&gt;0, ROUNDUP((M65+IF(O65&gt;=90000,20000,0))/(1-N65-P65), -3), O65)</f>
        <v/>
      </c>
      <c r="R65" s="78">
        <f>O65</f>
        <v/>
      </c>
      <c r="S65" s="78">
        <f>O65-M65</f>
        <v/>
      </c>
      <c r="T65" s="79">
        <f>IF(O65&gt;0, (O65-M65)/O65, 0)</f>
        <v/>
      </c>
      <c r="U65" s="69" t="inlineStr">
        <is>
          <t>6 Meses</t>
        </is>
      </c>
      <c r="V65" s="68" t="inlineStr">
        <is>
          <t>identidad visual max tech/Logo MAX Tech.png</t>
        </is>
      </c>
      <c r="W65" s="68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68" t="inlineStr">
        <is>
          <t>Serial: 2F50031050103. Factura FEVO 33009.</t>
        </is>
      </c>
    </row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2026-09-08T04:29:06Z</dcterms:modified>
  <cp:lastModifiedBy>Andrea Silva</cp:lastModifiedBy>
</cp:coreProperties>
</file>