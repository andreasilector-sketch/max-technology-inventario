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D:\Documents\CLIENTES\MAX TECHNOLOGY\"/>
    </mc:Choice>
  </mc:AlternateContent>
  <xr:revisionPtr revIDLastSave="0" documentId="13_ncr:1_{C3787037-71D1-45A9-B77C-62734A3D8E1A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📦 Inventario Maestro" sheetId="1" r:id="rId1"/>
    <sheet name="📊 Resumen y Métricas" sheetId="2" r:id="rId2"/>
    <sheet name="🛠️ Triaje Usados y Repuestos" sheetId="3" r:id="rId3"/>
    <sheet name="💰 Calculadora de Precio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4" l="1"/>
  <c r="E12" i="4" s="1"/>
  <c r="B8" i="4"/>
  <c r="J9" i="3"/>
  <c r="J8" i="3"/>
  <c r="J7" i="3"/>
  <c r="J6" i="3"/>
  <c r="J5" i="3"/>
  <c r="E26" i="2"/>
  <c r="D26" i="2"/>
  <c r="C26" i="2"/>
  <c r="B26" i="2"/>
  <c r="E25" i="2"/>
  <c r="D25" i="2"/>
  <c r="C25" i="2"/>
  <c r="B25" i="2"/>
  <c r="E24" i="2"/>
  <c r="D24" i="2"/>
  <c r="C24" i="2"/>
  <c r="B24" i="2"/>
  <c r="E23" i="2"/>
  <c r="D23" i="2"/>
  <c r="C23" i="2"/>
  <c r="B23" i="2"/>
  <c r="E22" i="2"/>
  <c r="D22" i="2"/>
  <c r="C22" i="2"/>
  <c r="B22" i="2"/>
  <c r="E21" i="2"/>
  <c r="D21" i="2"/>
  <c r="C21" i="2"/>
  <c r="B21" i="2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B17" i="2"/>
  <c r="E16" i="2"/>
  <c r="D16" i="2"/>
  <c r="C16" i="2"/>
  <c r="B16" i="2"/>
  <c r="E15" i="2"/>
  <c r="D15" i="2"/>
  <c r="C15" i="2"/>
  <c r="B15" i="2"/>
  <c r="E14" i="2"/>
  <c r="D14" i="2"/>
  <c r="C14" i="2"/>
  <c r="B14" i="2"/>
  <c r="E13" i="2"/>
  <c r="D13" i="2"/>
  <c r="C13" i="2"/>
  <c r="B13" i="2"/>
  <c r="E12" i="2"/>
  <c r="D12" i="2"/>
  <c r="C12" i="2"/>
  <c r="B12" i="2"/>
  <c r="E11" i="2"/>
  <c r="D11" i="2"/>
  <c r="C11" i="2"/>
  <c r="B11" i="2"/>
  <c r="E10" i="2"/>
  <c r="D10" i="2"/>
  <c r="C10" i="2"/>
  <c r="B10" i="2"/>
  <c r="E9" i="2"/>
  <c r="D9" i="2"/>
  <c r="D27" i="2" s="1"/>
  <c r="C9" i="2"/>
  <c r="B9" i="2"/>
  <c r="B27" i="2" s="1"/>
  <c r="M60" i="1"/>
  <c r="B4" i="2" s="1"/>
  <c r="K60" i="1"/>
  <c r="J60" i="1"/>
  <c r="T59" i="1"/>
  <c r="S59" i="1"/>
  <c r="R59" i="1"/>
  <c r="Q59" i="1"/>
  <c r="O59" i="1"/>
  <c r="I59" i="1"/>
  <c r="O58" i="1"/>
  <c r="T58" i="1" s="1"/>
  <c r="I58" i="1"/>
  <c r="T57" i="1"/>
  <c r="S57" i="1"/>
  <c r="R57" i="1"/>
  <c r="Q57" i="1"/>
  <c r="O57" i="1"/>
  <c r="I57" i="1"/>
  <c r="Q56" i="1"/>
  <c r="O56" i="1"/>
  <c r="T56" i="1" s="1"/>
  <c r="I56" i="1"/>
  <c r="T55" i="1"/>
  <c r="S55" i="1"/>
  <c r="R55" i="1"/>
  <c r="Q55" i="1"/>
  <c r="O55" i="1"/>
  <c r="I55" i="1"/>
  <c r="Q54" i="1"/>
  <c r="O54" i="1"/>
  <c r="T54" i="1" s="1"/>
  <c r="I54" i="1"/>
  <c r="T53" i="1"/>
  <c r="S53" i="1"/>
  <c r="R53" i="1"/>
  <c r="Q53" i="1"/>
  <c r="O53" i="1"/>
  <c r="I53" i="1"/>
  <c r="Q52" i="1"/>
  <c r="O52" i="1"/>
  <c r="T52" i="1" s="1"/>
  <c r="I52" i="1"/>
  <c r="T51" i="1"/>
  <c r="S51" i="1"/>
  <c r="R51" i="1"/>
  <c r="Q51" i="1"/>
  <c r="O51" i="1"/>
  <c r="I51" i="1"/>
  <c r="Q50" i="1"/>
  <c r="O50" i="1"/>
  <c r="T50" i="1" s="1"/>
  <c r="I50" i="1"/>
  <c r="T49" i="1"/>
  <c r="S49" i="1"/>
  <c r="R49" i="1"/>
  <c r="Q49" i="1"/>
  <c r="O49" i="1"/>
  <c r="I49" i="1"/>
  <c r="O48" i="1"/>
  <c r="T48" i="1" s="1"/>
  <c r="I48" i="1"/>
  <c r="T47" i="1"/>
  <c r="S47" i="1"/>
  <c r="R47" i="1"/>
  <c r="Q47" i="1"/>
  <c r="O47" i="1"/>
  <c r="I47" i="1"/>
  <c r="Q46" i="1"/>
  <c r="O46" i="1"/>
  <c r="T46" i="1" s="1"/>
  <c r="I46" i="1"/>
  <c r="T45" i="1"/>
  <c r="S45" i="1"/>
  <c r="R45" i="1"/>
  <c r="Q45" i="1"/>
  <c r="O45" i="1"/>
  <c r="I45" i="1"/>
  <c r="Q44" i="1"/>
  <c r="O44" i="1"/>
  <c r="T44" i="1" s="1"/>
  <c r="I44" i="1"/>
  <c r="T43" i="1"/>
  <c r="S43" i="1"/>
  <c r="R43" i="1"/>
  <c r="Q43" i="1"/>
  <c r="O43" i="1"/>
  <c r="I43" i="1"/>
  <c r="Q42" i="1"/>
  <c r="O42" i="1"/>
  <c r="T42" i="1" s="1"/>
  <c r="I42" i="1"/>
  <c r="T41" i="1"/>
  <c r="S41" i="1"/>
  <c r="R41" i="1"/>
  <c r="Q41" i="1"/>
  <c r="O41" i="1"/>
  <c r="I41" i="1"/>
  <c r="Q40" i="1"/>
  <c r="O40" i="1"/>
  <c r="T40" i="1" s="1"/>
  <c r="I40" i="1"/>
  <c r="T39" i="1"/>
  <c r="S39" i="1"/>
  <c r="R39" i="1"/>
  <c r="Q39" i="1"/>
  <c r="O39" i="1"/>
  <c r="I39" i="1"/>
  <c r="Q38" i="1"/>
  <c r="O38" i="1"/>
  <c r="T38" i="1" s="1"/>
  <c r="I38" i="1"/>
  <c r="T37" i="1"/>
  <c r="S37" i="1"/>
  <c r="R37" i="1"/>
  <c r="Q37" i="1"/>
  <c r="O37" i="1"/>
  <c r="I37" i="1"/>
  <c r="Q36" i="1"/>
  <c r="O36" i="1"/>
  <c r="T36" i="1" s="1"/>
  <c r="I36" i="1"/>
  <c r="T35" i="1"/>
  <c r="S35" i="1"/>
  <c r="R35" i="1"/>
  <c r="Q35" i="1"/>
  <c r="O35" i="1"/>
  <c r="I35" i="1"/>
  <c r="Q34" i="1"/>
  <c r="O34" i="1"/>
  <c r="T34" i="1" s="1"/>
  <c r="I34" i="1"/>
  <c r="T33" i="1"/>
  <c r="S33" i="1"/>
  <c r="R33" i="1"/>
  <c r="Q33" i="1"/>
  <c r="O33" i="1"/>
  <c r="I33" i="1"/>
  <c r="Q32" i="1"/>
  <c r="O32" i="1"/>
  <c r="T32" i="1" s="1"/>
  <c r="I32" i="1"/>
  <c r="T31" i="1"/>
  <c r="S31" i="1"/>
  <c r="R31" i="1"/>
  <c r="Q31" i="1"/>
  <c r="O31" i="1"/>
  <c r="I31" i="1"/>
  <c r="Q30" i="1"/>
  <c r="O30" i="1"/>
  <c r="T30" i="1" s="1"/>
  <c r="I30" i="1"/>
  <c r="T29" i="1"/>
  <c r="S29" i="1"/>
  <c r="R29" i="1"/>
  <c r="Q29" i="1"/>
  <c r="O29" i="1"/>
  <c r="I29" i="1"/>
  <c r="Q28" i="1"/>
  <c r="O28" i="1"/>
  <c r="T28" i="1" s="1"/>
  <c r="I28" i="1"/>
  <c r="T27" i="1"/>
  <c r="S27" i="1"/>
  <c r="R27" i="1"/>
  <c r="Q27" i="1"/>
  <c r="O27" i="1"/>
  <c r="I27" i="1"/>
  <c r="Q26" i="1"/>
  <c r="O26" i="1"/>
  <c r="T26" i="1" s="1"/>
  <c r="I26" i="1"/>
  <c r="T25" i="1"/>
  <c r="S25" i="1"/>
  <c r="R25" i="1"/>
  <c r="Q25" i="1"/>
  <c r="O25" i="1"/>
  <c r="I25" i="1"/>
  <c r="Q24" i="1"/>
  <c r="O24" i="1"/>
  <c r="T24" i="1" s="1"/>
  <c r="I24" i="1"/>
  <c r="T23" i="1"/>
  <c r="S23" i="1"/>
  <c r="R23" i="1"/>
  <c r="Q23" i="1"/>
  <c r="O23" i="1"/>
  <c r="I23" i="1"/>
  <c r="Q22" i="1"/>
  <c r="O22" i="1"/>
  <c r="T22" i="1" s="1"/>
  <c r="I22" i="1"/>
  <c r="T21" i="1"/>
  <c r="S21" i="1"/>
  <c r="R21" i="1"/>
  <c r="Q21" i="1"/>
  <c r="O21" i="1"/>
  <c r="I21" i="1"/>
  <c r="Q20" i="1"/>
  <c r="O20" i="1"/>
  <c r="T20" i="1" s="1"/>
  <c r="I20" i="1"/>
  <c r="T19" i="1"/>
  <c r="S19" i="1"/>
  <c r="R19" i="1"/>
  <c r="Q19" i="1"/>
  <c r="O19" i="1"/>
  <c r="I19" i="1"/>
  <c r="Q18" i="1"/>
  <c r="O18" i="1"/>
  <c r="T18" i="1" s="1"/>
  <c r="I18" i="1"/>
  <c r="T17" i="1"/>
  <c r="S17" i="1"/>
  <c r="R17" i="1"/>
  <c r="Q17" i="1"/>
  <c r="O17" i="1"/>
  <c r="I17" i="1"/>
  <c r="Q16" i="1"/>
  <c r="O16" i="1"/>
  <c r="T16" i="1" s="1"/>
  <c r="I16" i="1"/>
  <c r="T15" i="1"/>
  <c r="S15" i="1"/>
  <c r="R15" i="1"/>
  <c r="Q15" i="1"/>
  <c r="O15" i="1"/>
  <c r="I15" i="1"/>
  <c r="Q14" i="1"/>
  <c r="O14" i="1"/>
  <c r="T14" i="1" s="1"/>
  <c r="I14" i="1"/>
  <c r="T13" i="1"/>
  <c r="S13" i="1"/>
  <c r="R13" i="1"/>
  <c r="Q13" i="1"/>
  <c r="O13" i="1"/>
  <c r="I13" i="1"/>
  <c r="Q12" i="1"/>
  <c r="O12" i="1"/>
  <c r="T12" i="1" s="1"/>
  <c r="I12" i="1"/>
  <c r="T11" i="1"/>
  <c r="S11" i="1"/>
  <c r="R11" i="1"/>
  <c r="Q11" i="1"/>
  <c r="O11" i="1"/>
  <c r="I11" i="1"/>
  <c r="Q10" i="1"/>
  <c r="O10" i="1"/>
  <c r="T10" i="1" s="1"/>
  <c r="I10" i="1"/>
  <c r="T9" i="1"/>
  <c r="S9" i="1"/>
  <c r="R9" i="1"/>
  <c r="Q9" i="1"/>
  <c r="O9" i="1"/>
  <c r="I9" i="1"/>
  <c r="Q8" i="1"/>
  <c r="O8" i="1"/>
  <c r="T8" i="1" s="1"/>
  <c r="I8" i="1"/>
  <c r="T7" i="1"/>
  <c r="S7" i="1"/>
  <c r="R7" i="1"/>
  <c r="Q7" i="1"/>
  <c r="O7" i="1"/>
  <c r="I7" i="1"/>
  <c r="Q6" i="1"/>
  <c r="O6" i="1"/>
  <c r="T6" i="1" s="1"/>
  <c r="I6" i="1"/>
  <c r="T5" i="1"/>
  <c r="S5" i="1"/>
  <c r="R5" i="1"/>
  <c r="Q5" i="1"/>
  <c r="O5" i="1"/>
  <c r="I5" i="1"/>
  <c r="Q4" i="1"/>
  <c r="O4" i="1"/>
  <c r="I4" i="1"/>
  <c r="C27" i="2" l="1"/>
  <c r="E27" i="2"/>
  <c r="F15" i="2"/>
  <c r="G15" i="2" s="1"/>
  <c r="F13" i="2"/>
  <c r="G13" i="2" s="1"/>
  <c r="F25" i="2"/>
  <c r="G25" i="2" s="1"/>
  <c r="F18" i="2"/>
  <c r="G18" i="2" s="1"/>
  <c r="F20" i="2"/>
  <c r="G20" i="2" s="1"/>
  <c r="F11" i="2"/>
  <c r="G11" i="2" s="1"/>
  <c r="F16" i="2"/>
  <c r="G16" i="2" s="1"/>
  <c r="F9" i="2"/>
  <c r="G9" i="2" s="1"/>
  <c r="F21" i="2"/>
  <c r="G21" i="2" s="1"/>
  <c r="F14" i="2"/>
  <c r="G14" i="2" s="1"/>
  <c r="F19" i="2"/>
  <c r="G19" i="2" s="1"/>
  <c r="F24" i="2"/>
  <c r="G24" i="2" s="1"/>
  <c r="Q48" i="1"/>
  <c r="F12" i="2"/>
  <c r="G12" i="2" s="1"/>
  <c r="F17" i="2"/>
  <c r="G17" i="2" s="1"/>
  <c r="F10" i="2"/>
  <c r="G10" i="2" s="1"/>
  <c r="F22" i="2"/>
  <c r="G22" i="2" s="1"/>
  <c r="Q58" i="1"/>
  <c r="R4" i="1"/>
  <c r="R6" i="1"/>
  <c r="R8" i="1"/>
  <c r="R10" i="1"/>
  <c r="R12" i="1"/>
  <c r="R14" i="1"/>
  <c r="R16" i="1"/>
  <c r="R18" i="1"/>
  <c r="R20" i="1"/>
  <c r="R22" i="1"/>
  <c r="R24" i="1"/>
  <c r="R26" i="1"/>
  <c r="R28" i="1"/>
  <c r="R30" i="1"/>
  <c r="R32" i="1"/>
  <c r="R34" i="1"/>
  <c r="R36" i="1"/>
  <c r="R38" i="1"/>
  <c r="R40" i="1"/>
  <c r="R42" i="1"/>
  <c r="R44" i="1"/>
  <c r="R46" i="1"/>
  <c r="R48" i="1"/>
  <c r="R50" i="1"/>
  <c r="R52" i="1"/>
  <c r="R54" i="1"/>
  <c r="R56" i="1"/>
  <c r="R58" i="1"/>
  <c r="O60" i="1"/>
  <c r="D4" i="2" s="1"/>
  <c r="S4" i="1"/>
  <c r="S60" i="1" s="1"/>
  <c r="F4" i="2" s="1"/>
  <c r="S6" i="1"/>
  <c r="S8" i="1"/>
  <c r="S10" i="1"/>
  <c r="S12" i="1"/>
  <c r="S14" i="1"/>
  <c r="S16" i="1"/>
  <c r="S18" i="1"/>
  <c r="S20" i="1"/>
  <c r="S22" i="1"/>
  <c r="S24" i="1"/>
  <c r="S26" i="1"/>
  <c r="S28" i="1"/>
  <c r="S30" i="1"/>
  <c r="S32" i="1"/>
  <c r="S34" i="1"/>
  <c r="S36" i="1"/>
  <c r="S38" i="1"/>
  <c r="S40" i="1"/>
  <c r="S42" i="1"/>
  <c r="S44" i="1"/>
  <c r="S46" i="1"/>
  <c r="S48" i="1"/>
  <c r="S50" i="1"/>
  <c r="S52" i="1"/>
  <c r="S54" i="1"/>
  <c r="S56" i="1"/>
  <c r="S58" i="1"/>
  <c r="T4" i="1"/>
  <c r="F26" i="2"/>
  <c r="G26" i="2" s="1"/>
  <c r="E10" i="4"/>
  <c r="B11" i="4"/>
  <c r="E11" i="4" s="1"/>
  <c r="F23" i="2"/>
  <c r="G23" i="2" s="1"/>
  <c r="B12" i="4"/>
  <c r="G27" i="2" l="1"/>
  <c r="F27" i="2"/>
</calcChain>
</file>

<file path=xl/sharedStrings.xml><?xml version="1.0" encoding="utf-8"?>
<sst xmlns="http://schemas.openxmlformats.org/spreadsheetml/2006/main" count="850" uniqueCount="562">
  <si>
    <t>MAX TECHNOLOGY STORE — INVENTARIO FÍSICO Y CATÁLOGO DE PRECIOS</t>
  </si>
  <si>
    <t>🟡 Columna 'Stock Físico Actual': escribe la cantidad en taller | 🟢 Precios WhatsApp, MercadoLibre, Facebook y Utilidades calculados con fórmulas 100% compatibles</t>
  </si>
  <si>
    <t>SKU</t>
  </si>
  <si>
    <t>Producto / Descripción Comercial</t>
  </si>
  <si>
    <t>Categoría</t>
  </si>
  <si>
    <t>Marca</t>
  </si>
  <si>
    <t>Modelo / No. Parte</t>
  </si>
  <si>
    <t>Color</t>
  </si>
  <si>
    <t>Código de Barras (EAN/UPC)</t>
  </si>
  <si>
    <t>Estado</t>
  </si>
  <si>
    <t>Disponibilidad</t>
  </si>
  <si>
    <t>Stock Físico Actual</t>
  </si>
  <si>
    <t>Histórico Comprado</t>
  </si>
  <si>
    <t>Ubicación Física</t>
  </si>
  <si>
    <t>Costo Total Unitario (COP)</t>
  </si>
  <si>
    <t>Margen Deseado</t>
  </si>
  <si>
    <t>Precio WhatsApp / Directo (COP)</t>
  </si>
  <si>
    <t>Comisión ML</t>
  </si>
  <si>
    <t>Precio MercadoLibre (COP)</t>
  </si>
  <si>
    <t>Precio Facebook (COP)</t>
  </si>
  <si>
    <t>Utilidad Directa (COP)</t>
  </si>
  <si>
    <t>Margen Real Directo</t>
  </si>
  <si>
    <t>Garantía Oficial</t>
  </si>
  <si>
    <t>Ruta Foto Local</t>
  </si>
  <si>
    <t>Beneficio Principal (Cliente)</t>
  </si>
  <si>
    <t>Notas / Observaciones</t>
  </si>
  <si>
    <t>MTS-0001</t>
  </si>
  <si>
    <t>Kit Solar Renogy 100W 12V Monocristalino + Controlador PWM 30A Wanderer</t>
  </si>
  <si>
    <t>Energía Solar y Electrónica</t>
  </si>
  <si>
    <t>Renogy</t>
  </si>
  <si>
    <t>RNG-KIT-STARTER100D-WND30</t>
  </si>
  <si>
    <t>Negro</t>
  </si>
  <si>
    <t>810057240123</t>
  </si>
  <si>
    <t>NUEVO</t>
  </si>
  <si>
    <t>Bodega Principal - Estante A</t>
  </si>
  <si>
    <t>12 Meses</t>
  </si>
  <si>
    <t>IMAGENES DE PRODUCTOS/Panel solar.jpg</t>
  </si>
  <si>
    <t>Kit solar completo con panel monocristalino de 100W y controlador inteligente de 30A. Te da energía limpia y autónoma en fincas, casas de campo o vehículos recreativos para iluminar, cargar celulares y alimentar equipos.</t>
  </si>
  <si>
    <t>Kit sellado de fábrica.</t>
  </si>
  <si>
    <t>MTS-0002</t>
  </si>
  <si>
    <t>Lector Escáner de Código de Barras Zebra DS9208 Digital 1D y 2D Manos Libres USB</t>
  </si>
  <si>
    <t>Puntos de Venta y POS</t>
  </si>
  <si>
    <t>Zebra</t>
  </si>
  <si>
    <t>DS9208-SR4NNU21Z</t>
  </si>
  <si>
    <t>REMANUFACTURADO</t>
  </si>
  <si>
    <t>Vitrina Principal - POS</t>
  </si>
  <si>
    <t>3 Meses de Garantía</t>
  </si>
  <si>
    <t>IMAGENES DE PRODUCTOS/ZEBRA DS9208.jpg</t>
  </si>
  <si>
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</si>
  <si>
    <t>Excelente estado estético y 100% probado en mostrador.</t>
  </si>
  <si>
    <t>MTS-0003</t>
  </si>
  <si>
    <t>Mouse Inalámbrico Logitech M170 Óptico 1000 DPI Negro</t>
  </si>
  <si>
    <t>Periféricos y Accesorios</t>
  </si>
  <si>
    <t>Logitech</t>
  </si>
  <si>
    <t>910-004425</t>
  </si>
  <si>
    <t>097855124180</t>
  </si>
  <si>
    <t>Vitrina Accesorios</t>
  </si>
  <si>
    <t>12 Meses Logitech</t>
  </si>
  <si>
    <t>IMAGENES DE PRODUCTOS/MOUSE M170 NEGRO LOGITECH.jpg</t>
  </si>
  <si>
    <t>Mouse inalámbrico compacto, supercómodo y confiable. Se conecta con un receptor USB miniatura con alcance de hasta 10 metros y su batería dura hasta 1 año completo con una sola pila.</t>
  </si>
  <si>
    <t>Pila AA incluida de fábrica.</t>
  </si>
  <si>
    <t>MTS-0004</t>
  </si>
  <si>
    <t>Router Mercusys MR30G AC1200 Gigabit Dual-Band Wi-Fi (4 Antenas 5dBi)</t>
  </si>
  <si>
    <t>Redes y Conectividad</t>
  </si>
  <si>
    <t>Mercusys</t>
  </si>
  <si>
    <t>MR30G</t>
  </si>
  <si>
    <t>849439000614</t>
  </si>
  <si>
    <t>Estante C - Redes</t>
  </si>
  <si>
    <t>24 Meses (2 Años)</t>
  </si>
  <si>
    <t>IMAGENES DE PRODUCTOS/Router C1200.jpeg</t>
  </si>
  <si>
    <t>Router de alta velocidad con puertos Gigabit para aprovechar al 100% planes de fibra óptica de 100 a 300 Megas. Tiene 4 antenas de buen alcance y transmite en dos bandas (2.4GHz y 5GHz) para que navegues sin cortes.</t>
  </si>
  <si>
    <t>Configuración rápida desde el celular.</t>
  </si>
  <si>
    <t>MTS-0005</t>
  </si>
  <si>
    <t>Combo Teclado y Mouse Logitech MK120 Alámbrico USB Español Antiderrames</t>
  </si>
  <si>
    <t>920-004428</t>
  </si>
  <si>
    <t>097855088802</t>
  </si>
  <si>
    <t>Caja 2 - Periféricos</t>
  </si>
  <si>
    <t>36 Meses (3 Años Logitech)</t>
  </si>
  <si>
    <t>IMAGENES DE PRODUCTOS/combo teclado + mouse mk120.webp</t>
  </si>
  <si>
    <t>El combo de oficina más duradero y vendido. Teclado con letra Ñ, teclas suaves y silenciosas que no se borran con el uso, resistente a salpicaduras de líquidos, y mouse óptico muy preciso y cómodo. Cuenta con 3 años de garantía oficial.</t>
  </si>
  <si>
    <t>Garantía oficial de 3 años.</t>
  </si>
  <si>
    <t>MTS-0006</t>
  </si>
  <si>
    <t>Teclado Logitech K120 Alámbrico USB Español Negro Resistente</t>
  </si>
  <si>
    <t>920-004422</t>
  </si>
  <si>
    <t>097855088741</t>
  </si>
  <si>
    <t>IMAGENES DE PRODUCTOS/teclado usb mk120.webp</t>
  </si>
  <si>
    <t>Teclado de tamaño completo con teclado numérico y distribución en español. Fabricado para soportar derrames de líquidos y años de trabajo continuo en oficina o casa sin fallar.</t>
  </si>
  <si>
    <t>2 años de garantía.</t>
  </si>
  <si>
    <t>MTS-0007</t>
  </si>
  <si>
    <t>Mouse Óptico Logitech B100 USB 800 DPI con Cable Negro</t>
  </si>
  <si>
    <t>910-001439</t>
  </si>
  <si>
    <t>097855014399</t>
  </si>
  <si>
    <t>36 Meses (3 Años)</t>
  </si>
  <si>
    <t>IMAGENES DE PRODUCTOS/Mouse USB B100 Logitech.webp</t>
  </si>
  <si>
    <t>Mouse con cable USB clásico de Logitech, superpreciso, cómodo para cualquier tamaño de mano y con 3 años de garantía oficial.</t>
  </si>
  <si>
    <t>Durabilidad corporativa.</t>
  </si>
  <si>
    <t>MTS-0008</t>
  </si>
  <si>
    <t>Cargador para Portátil Lenovo Yoga 65W 20V 3.25A Conector USB PIN</t>
  </si>
  <si>
    <t>Cargadores y Fuentes</t>
  </si>
  <si>
    <t>Marinansa</t>
  </si>
  <si>
    <t>USB-PIN-65W</t>
  </si>
  <si>
    <t>202404GW140042</t>
  </si>
  <si>
    <t>Caja 1 - Cargadores</t>
  </si>
  <si>
    <t>6 Meses de Garantía</t>
  </si>
  <si>
    <t>IMAGENES DE PRODUCTOS/Cargador UBS PIN 20v 3.25A.PNG</t>
  </si>
  <si>
    <t>Cargador de 65W (20V a 3.25A) con conector rectangular amarillo USB PIN para laptops Lenovo ThinkPad, IdeaPad y serie Yoga. Incluye su cable de poder.</t>
  </si>
  <si>
    <t>Protección contra sobrecargas y cortocircuitos.</t>
  </si>
  <si>
    <t>MTS-0009</t>
  </si>
  <si>
    <t>Mouse Genius DX-101 Alámbrico Óptico USB 1000 DPI Negro</t>
  </si>
  <si>
    <t>Genius</t>
  </si>
  <si>
    <t>31010026400</t>
  </si>
  <si>
    <t>4710268254218</t>
  </si>
  <si>
    <t>IMAGENES DE PRODUCTOS/MOUSE DX-101.webp</t>
  </si>
  <si>
    <t>Mouse óptico de cable USB, sencillo, ergonómico y muy económico para uso diario en el hogar o trabajo.</t>
  </si>
  <si>
    <t>1 año de garantía.</t>
  </si>
  <si>
    <t>MTS-0010</t>
  </si>
  <si>
    <t>Funda Protectora Doble Faz para Portátil 14" - 15.6" Neopreno</t>
  </si>
  <si>
    <t>Accesorios y Fundas</t>
  </si>
  <si>
    <t>Genérica</t>
  </si>
  <si>
    <t>JRG01</t>
  </si>
  <si>
    <t>Negro / Rojo</t>
  </si>
  <si>
    <t>1 Mes</t>
  </si>
  <si>
    <t>IMAGENES DE PRODUCTOS/FUNDA PARA PORTATIL.webp</t>
  </si>
  <si>
    <t>Funda en neopreno acolchado reversible (negro por un lado y rojo por el otro). Protege tu computador portátil de rayones, golpes leves y polvo dentro de tu morral o bolso.</t>
  </si>
  <si>
    <t>Compatible con portátiles de 14 y 15.6 pulgadas.</t>
  </si>
  <si>
    <t>MTS-0011</t>
  </si>
  <si>
    <t>Tinta Genérica Epson 524 Gihonclock Negra 127ml (G-524)</t>
  </si>
  <si>
    <t>Tintas y Suministros</t>
  </si>
  <si>
    <t>Gihonclock</t>
  </si>
  <si>
    <t>G-524</t>
  </si>
  <si>
    <t>8016013040522</t>
  </si>
  <si>
    <t>Estante Tintas - Nivel 1</t>
  </si>
  <si>
    <t>Garantía de Calidad de Impresión</t>
  </si>
  <si>
    <t>IMAGENES DE PRODUCTOS/TINTA G-524 NEGRA.PNG</t>
  </si>
  <si>
    <t>Botella de tinta genérica de 127ml de alta pigmentación para impresoras Epson EcoTank serie L. Excelente nitidez en textos y documentos.</t>
  </si>
  <si>
    <t>Presentación de 127ml.</t>
  </si>
  <si>
    <t>MTS-0012</t>
  </si>
  <si>
    <t>Botella de Tinta Original Canon GI-11 Magenta</t>
  </si>
  <si>
    <t>Canon</t>
  </si>
  <si>
    <t>GI-11M</t>
  </si>
  <si>
    <t>Magenta</t>
  </si>
  <si>
    <t>013803328400</t>
  </si>
  <si>
    <t>Estante Tintas - Nivel 2</t>
  </si>
  <si>
    <t>100% Original Canon</t>
  </si>
  <si>
    <t>IMAGENES DE PRODUCTOS/TINTA 11M CANON.jpg</t>
  </si>
  <si>
    <t>Tinta 100% original Canon GI-11 color Magenta para impresoras de tanque continuo Canon MegaTank (G2160, G3160, etc.). Colores vivos y duraderos sin tapar los cabezales.</t>
  </si>
  <si>
    <t>Botella original sellada.</t>
  </si>
  <si>
    <t>MTS-0013</t>
  </si>
  <si>
    <t>Botella de Tinta Original Canon GI-11 Cyan</t>
  </si>
  <si>
    <t>GI-11C</t>
  </si>
  <si>
    <t>Cyan</t>
  </si>
  <si>
    <t>013803328394</t>
  </si>
  <si>
    <t>IMAGENES DE PRODUCTOS/TINTA 11C CANON.jpg</t>
  </si>
  <si>
    <t>Tinta original Canon GI-11 color Cyan para impresoras MegaTank. Máxima fidelidad en impresiones a color.</t>
  </si>
  <si>
    <t>Original sellada.</t>
  </si>
  <si>
    <t>MTS-0014</t>
  </si>
  <si>
    <t>Botella de Tinta Original Canon GI-11 Amarillo</t>
  </si>
  <si>
    <t>GI-11Y</t>
  </si>
  <si>
    <t>Amarillo</t>
  </si>
  <si>
    <t>013803328417</t>
  </si>
  <si>
    <t>IMAGENES DE PRODUCTOS/TINTA 11Y CANON.jpg</t>
  </si>
  <si>
    <t>Tinta original Canon GI-11 color Amarillo para impresoras MegaTank.</t>
  </si>
  <si>
    <t>MTS-0015</t>
  </si>
  <si>
    <t>Botella de Tinta Original Canon GI-190 Amarillo</t>
  </si>
  <si>
    <t>GI-190Y</t>
  </si>
  <si>
    <t>013803268232</t>
  </si>
  <si>
    <t>IMAGENES DE PRODUCTOS/TINTA CANON GI-190 A.jpg</t>
  </si>
  <si>
    <t>Tinta original Canon GI-190 Amarilla para impresoras Canon serie G (G2100, G3100, G4100, G2110, G3110).</t>
  </si>
  <si>
    <t>Original Canon.</t>
  </si>
  <si>
    <t>MTS-0016</t>
  </si>
  <si>
    <t>Botella de Tinta Original Canon GI-190 Magenta</t>
  </si>
  <si>
    <t>GI-190M</t>
  </si>
  <si>
    <t>013803268225</t>
  </si>
  <si>
    <t>IMAGENES DE PRODUCTOS/TINTA CANON GI-190 M.jpg</t>
  </si>
  <si>
    <t>Tinta original Canon GI-190 Magenta para impresoras de tanque continuo serie G.</t>
  </si>
  <si>
    <t>MTS-0017</t>
  </si>
  <si>
    <t>Botella de Tinta Original Canon GI-190 Negro</t>
  </si>
  <si>
    <t>GI-190B</t>
  </si>
  <si>
    <t>013803268201</t>
  </si>
  <si>
    <t>IMAGENES DE PRODUCTOS/TINTA CANON GI-190 N.jpg</t>
  </si>
  <si>
    <t>Tinta original Canon GI-190 Negra de alta capacidad para impresoras serie G.</t>
  </si>
  <si>
    <t>MTS-0018</t>
  </si>
  <si>
    <t>Botella de Tinta Original HP GT52 Amarilla (M0H56AL)</t>
  </si>
  <si>
    <t>HP</t>
  </si>
  <si>
    <t>GT52A / M0H56AL</t>
  </si>
  <si>
    <t>190780132562</t>
  </si>
  <si>
    <t>Estante Tintas - Nivel 3</t>
  </si>
  <si>
    <t>100% Original HP</t>
  </si>
  <si>
    <t>IMAGENES DE PRODUCTOS/Tinta HP GT52 A.jpg</t>
  </si>
  <si>
    <t>Tinta original HP GT52 Amarilla para impresoras HP Ink Tank y Smart Tank (series 115, 315, 415, 515, 615). Rendimiento de hasta 8.000 páginas en color.</t>
  </si>
  <si>
    <t>Original HP.</t>
  </si>
  <si>
    <t>MTS-0019</t>
  </si>
  <si>
    <t>Botella de Tinta Original HP GT52 Cian (M0H54AL)</t>
  </si>
  <si>
    <t>GT52C / M0H54AL</t>
  </si>
  <si>
    <t>IMAGENES DE PRODUCTOS/Tinta HP GT52 C.png</t>
  </si>
  <si>
    <t>Tinta original HP GT52 color Cian para impresoras HP Ink Tank y Smart Tank.</t>
  </si>
  <si>
    <t>MTS-0020</t>
  </si>
  <si>
    <t>Botella de Tinta Original HP GT52 Magenta (M0H55AL)</t>
  </si>
  <si>
    <t>GT52M / M0H55AL</t>
  </si>
  <si>
    <t>IMAGENES DE PRODUCTOS/Tinta HP GT52 M.jpg</t>
  </si>
  <si>
    <t>Tinta original HP GT52 color Magenta para impresoras HP Ink Tank y Smart Tank.</t>
  </si>
  <si>
    <t>MTS-0021</t>
  </si>
  <si>
    <t>Botella de Tinta Original HP GT53 Negra (1VV22AL)</t>
  </si>
  <si>
    <t>GT53N / 1VV22AL</t>
  </si>
  <si>
    <t>IMAGENES DE PRODUCTOS/Tinta HP GT53 N.jpg</t>
  </si>
  <si>
    <t>Tinta original HP GT53 Negra con fórmula pigmentada para textos negros ultranítidos y resistentes al agua. Rinde hasta 6.000 páginas.</t>
  </si>
  <si>
    <t>MTS-0022</t>
  </si>
  <si>
    <t>Botella de Tinta Original Epson T504 Cian (T504220-AL)</t>
  </si>
  <si>
    <t>Epson</t>
  </si>
  <si>
    <t>T504220-AL</t>
  </si>
  <si>
    <t>010343938755</t>
  </si>
  <si>
    <t>Estante Tintas - Nivel 4</t>
  </si>
  <si>
    <t>100% Original Epson</t>
  </si>
  <si>
    <t>IMAGENES DE PRODUCTOS/T504220-AL.jpg</t>
  </si>
  <si>
    <t>Tinta original Epson T504 Cian con sistema de llenado automático Ecofit (libre de derrames) para impresoras EcoTank L4150, L4160, L6161, L6171, L6191.</t>
  </si>
  <si>
    <t>Sistema Ecofit.</t>
  </si>
  <si>
    <t>MTS-0023</t>
  </si>
  <si>
    <t>Botella de Tinta Original Epson T504 Amarilla (T504420-AL)</t>
  </si>
  <si>
    <t>T504420-AL</t>
  </si>
  <si>
    <t>010343938779</t>
  </si>
  <si>
    <t>IMAGENES DE PRODUCTOS/T504420-AL.jpg</t>
  </si>
  <si>
    <t>Tinta original Epson T504 Amarilla para impresoras EcoTank con boquilla especial antirrames.</t>
  </si>
  <si>
    <t>Original Epson.</t>
  </si>
  <si>
    <t>MTS-0024</t>
  </si>
  <si>
    <t>Botella de Tinta Original Epson T504 Negra 127ml (T504120-AL)</t>
  </si>
  <si>
    <t>T504120-AL</t>
  </si>
  <si>
    <t>010343938748</t>
  </si>
  <si>
    <t>IMAGENES DE PRODUCTOS/T504120-AL.jpg</t>
  </si>
  <si>
    <t>Tinta original Epson T504 Negra de 127ml con tinta pigmentada para documentos profesionales y alta durabilidad.</t>
  </si>
  <si>
    <t>Presentación 127ml.</t>
  </si>
  <si>
    <t>MTS-0025</t>
  </si>
  <si>
    <t>Botella de Tinta Original Epson 664 Cyan (T664220)</t>
  </si>
  <si>
    <t>T664220</t>
  </si>
  <si>
    <t>010343885301</t>
  </si>
  <si>
    <t>IMAGENES DE PRODUCTOS/T664220.jpg</t>
  </si>
  <si>
    <t>Tinta original Epson 664 Cyan para impresoras EcoTank L110, L210, L220, L355, L365, L375, L380, L395, L475, L555, L575.</t>
  </si>
  <si>
    <t>Original Epson 664.</t>
  </si>
  <si>
    <t>MTS-0026</t>
  </si>
  <si>
    <t>Botella de Tinta Original Epson 664 Amarilla (T664420)</t>
  </si>
  <si>
    <t>T664420</t>
  </si>
  <si>
    <t>010343885325</t>
  </si>
  <si>
    <t>IMAGENES DE PRODUCTOS/T664420.jpg</t>
  </si>
  <si>
    <t>Tinta original Epson 664 Amarilla para impresoras EcoTank.</t>
  </si>
  <si>
    <t>MTS-0027</t>
  </si>
  <si>
    <t>Botella de Tinta Original Epson 664 Magenta (T664320)</t>
  </si>
  <si>
    <t>T664320</t>
  </si>
  <si>
    <t>010343885318</t>
  </si>
  <si>
    <t>IMAGENES DE PRODUCTOS/T664320.jpg</t>
  </si>
  <si>
    <t>Tinta original Epson 664 Magenta para impresoras EcoTank.</t>
  </si>
  <si>
    <t>MTS-0028</t>
  </si>
  <si>
    <t>Botella de Tinta Original Epson 664 Negra 70ml (T664120)</t>
  </si>
  <si>
    <t>T664120</t>
  </si>
  <si>
    <t>010343885295</t>
  </si>
  <si>
    <t>IMAGENES DE PRODUCTOS/T664120.webp</t>
  </si>
  <si>
    <t>Tinta original Epson 664 Negra de 70ml para impresoras EcoTank serie L.</t>
  </si>
  <si>
    <t>MTS-0029</t>
  </si>
  <si>
    <t>Botella de Tinta Original Epson 544 Cyan (T544220)</t>
  </si>
  <si>
    <t>T544220</t>
  </si>
  <si>
    <t>010343941984</t>
  </si>
  <si>
    <t>IMAGENES DE PRODUCTOS/T544220.jpg</t>
  </si>
  <si>
    <t>Tinta original Epson 544 Cyan con boquilla inteligente Ecofit para impresoras EcoTank L1110, L1210, L3110, L3150, L3160, L3210, L3250, L5190, L5290.</t>
  </si>
  <si>
    <t>Sistema Ecofit 544.</t>
  </si>
  <si>
    <t>MTS-0030</t>
  </si>
  <si>
    <t>Botella de Tinta Original Epson 544 Amarilla (T544420)</t>
  </si>
  <si>
    <t>T544420</t>
  </si>
  <si>
    <t>010343941991</t>
  </si>
  <si>
    <t>IMAGENES DE PRODUCTOS/T544420.jpg</t>
  </si>
  <si>
    <t>Tinta original Epson 544 Amarilla para impresoras EcoTank con sistema Ecofit.</t>
  </si>
  <si>
    <t>MTS-0031</t>
  </si>
  <si>
    <t>Botella de Tinta Original Epson 544 Magenta (T544320)</t>
  </si>
  <si>
    <t>T544320</t>
  </si>
  <si>
    <t>IMAGENES DE PRODUCTOS/T544320.jpg</t>
  </si>
  <si>
    <t>Tinta original Epson 544 Magenta para impresoras EcoTank con sistema Ecofit.</t>
  </si>
  <si>
    <t>MTS-0032</t>
  </si>
  <si>
    <t>Botella de Tinta Original Epson 544 Negra 65ml (T544120)</t>
  </si>
  <si>
    <t>T544120</t>
  </si>
  <si>
    <t>010343941977</t>
  </si>
  <si>
    <t>IMAGENES DE PRODUCTOS/T544120.jpg</t>
  </si>
  <si>
    <t>Tinta original Epson 544 Negra de 65ml para impresoras EcoTank.</t>
  </si>
  <si>
    <t>MTS-0033</t>
  </si>
  <si>
    <t>UPS Unipower UBI1000 Línea Interactiva 1000VA / 600W</t>
  </si>
  <si>
    <t>Energía y Respaldo / UPS</t>
  </si>
  <si>
    <t>Unipower</t>
  </si>
  <si>
    <t>UBI1000</t>
  </si>
  <si>
    <t>7707328610015</t>
  </si>
  <si>
    <t>Nuevo</t>
  </si>
  <si>
    <t>Estante A - Nivel 2</t>
  </si>
  <si>
    <t>identidad visual max tech/Logo MAX Tech.png</t>
  </si>
  <si>
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</si>
  <si>
    <t>Producto de alta rotación para oficinas y hogares.</t>
  </si>
  <si>
    <t>MTS-0034</t>
  </si>
  <si>
    <t>UPS Unipower UPI1500 Interactiva 1.5KVA / 900W con Pantalla</t>
  </si>
  <si>
    <t>UPI1500</t>
  </si>
  <si>
    <t>7707328610022</t>
  </si>
  <si>
    <t>Estante A - Nivel 1</t>
  </si>
  <si>
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</si>
  <si>
    <t>Recomendada para empresas y salas de cómputo.</t>
  </si>
  <si>
    <t>MTS-0035</t>
  </si>
  <si>
    <t>Regulador de Voltaje CDP R-AVR 3008 (3000VA / 1500W, 8 Salidas)</t>
  </si>
  <si>
    <t>Energía y Respaldo / Reguladores</t>
  </si>
  <si>
    <t>CDP</t>
  </si>
  <si>
    <t>R-AVR 3008</t>
  </si>
  <si>
    <t>0816869002280</t>
  </si>
  <si>
    <t>10 Años de Fábrica</t>
  </si>
  <si>
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</si>
  <si>
    <t>10 años de garantía directa de fábrica CDP.</t>
  </si>
  <si>
    <t>MTS-0036</t>
  </si>
  <si>
    <t>Monitor Dahua 24" Panel IPS 144Hz 1ms Full HD</t>
  </si>
  <si>
    <t>Monitores y Pantallas</t>
  </si>
  <si>
    <t>Dahua</t>
  </si>
  <si>
    <t>DHI-LM24-A221Y</t>
  </si>
  <si>
    <t>6938596001248</t>
  </si>
  <si>
    <t>Estante B - Nivel 2</t>
  </si>
  <si>
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</si>
  <si>
    <t>Bisel ultradelgado y filtro de luz azul.</t>
  </si>
  <si>
    <t>MTS-0037</t>
  </si>
  <si>
    <t>Monitor Dahua 27" Panel IPS 144Hz 1ms Full HD</t>
  </si>
  <si>
    <t>DHI-LM27-A221Y</t>
  </si>
  <si>
    <t>6938596001279</t>
  </si>
  <si>
    <t>Estante B - Nivel 1</t>
  </si>
  <si>
    <t>Monitor grande de 27 pulgadas Full HD con panel IPS a 144Hz. Brinda un espacio de trabajo amplio y descansado para tener varias ventanas abiertas al tiempo, ver videos o jugar con máxima fluidez. Tiene marco ultradelgado, puertos HDMI y VGA, y 3 años de garantía.</t>
  </si>
  <si>
    <t>Gran formato de 27 pulgadas.</t>
  </si>
  <si>
    <t>MTS-0038</t>
  </si>
  <si>
    <t>Monitor Dahua 27" Panel IPS 100Hz Full HD</t>
  </si>
  <si>
    <t>DHI-LM27-A201H</t>
  </si>
  <si>
    <t>6938596001271</t>
  </si>
  <si>
    <t>Monitor de 27 pulgadas ideal para oficina y estudio. Su tasa de 100Hz ofrece mucha mayor suavidad que una pantalla convencional (60Hz), permitiéndote trabajar con comodidad durante toda la jornada. Incluye cable HDMI y 3 años de garantía.</t>
  </si>
  <si>
    <t>Pantalla ejecutiva de 27 pulgadas.</t>
  </si>
  <si>
    <t>MTS-0039</t>
  </si>
  <si>
    <t>Portátil Dell 15 Intel Core i7 13va Gen 16GB RAM 512GB SSD 15.6" FHD</t>
  </si>
  <si>
    <t>Portátiles y Equipos</t>
  </si>
  <si>
    <t>Dell</t>
  </si>
  <si>
    <t>P112F-3XHY0</t>
  </si>
  <si>
    <t>884116443128</t>
  </si>
  <si>
    <t>Vitrina Principal</t>
  </si>
  <si>
    <t>12 Meses Onsite Dell</t>
  </si>
  <si>
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</si>
  <si>
    <t>Garantía Onsite directa con Dell.</t>
  </si>
  <si>
    <t>MTS-0040</t>
  </si>
  <si>
    <t>Portátil Dell 15 Intel Core i7 13va Gen 16GB RAM 512GB SSD (RWCGN)</t>
  </si>
  <si>
    <t>P112F-RWCGN</t>
  </si>
  <si>
    <t>884116443135</t>
  </si>
  <si>
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</si>
  <si>
    <t>Soporte técnico directo de fábrica.</t>
  </si>
  <si>
    <t>MTS-0041</t>
  </si>
  <si>
    <t>Portátil Lenovo IdeaPad Slim 3 Intel Core i7 24GB RAM 512GB SSD 15.6" FHD</t>
  </si>
  <si>
    <t>Lenovo</t>
  </si>
  <si>
    <t>83K100BRLM</t>
  </si>
  <si>
    <t>197532341209</t>
  </si>
  <si>
    <t>12 Meses Lenovo</t>
  </si>
  <si>
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</si>
  <si>
    <t>24GB de memoria RAM de fábrica.</t>
  </si>
  <si>
    <t>MTS-0042</t>
  </si>
  <si>
    <t>Workstation Lenovo ThinkPad P16s Core Ultra 7 16GB SSD 1TB Nvidia RTX PRO 500 6GB W11Pro</t>
  </si>
  <si>
    <t>Estaciones de Trabajo / Laptops Pro</t>
  </si>
  <si>
    <t>Lenovo ThinkPad</t>
  </si>
  <si>
    <t>21QW000ALM</t>
  </si>
  <si>
    <t>198153441928</t>
  </si>
  <si>
    <t>Caja Fuerte / Vitrina VIP</t>
  </si>
  <si>
    <t>36 Meses (3 Años Onsite Premier)</t>
  </si>
  <si>
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</si>
  <si>
    <t>Garantía Premier Onsite de 3 años.</t>
  </si>
  <si>
    <t>MTS-0043</t>
  </si>
  <si>
    <t>Router TP-Link Archer C86 AC1900 Dual-Band Gigabit Wi-Fi</t>
  </si>
  <si>
    <t>TP-Link</t>
  </si>
  <si>
    <t>Archer C86</t>
  </si>
  <si>
    <t>6935364072345</t>
  </si>
  <si>
    <t>Estante C - Nivel 2</t>
  </si>
  <si>
    <t>48 Meses (4 Años TP-Link)</t>
  </si>
  <si>
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</si>
  <si>
    <t>4 años de garantía directa TP-Link.</t>
  </si>
  <si>
    <t>MTS-0044</t>
  </si>
  <si>
    <t>Adaptador USB Wi-Fi 6E TP-Link Archer TXE70UH Tribanda AXE5400</t>
  </si>
  <si>
    <t>Archer TXE70UH</t>
  </si>
  <si>
    <t>6935364010538</t>
  </si>
  <si>
    <t>48 Meses (4 Años)</t>
  </si>
  <si>
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</si>
  <si>
    <t>Garantía de 4 años.</t>
  </si>
  <si>
    <t>MTS-0045</t>
  </si>
  <si>
    <t>Adaptador TP-Link UE330 USB 3.0 a Gigabit Ethernet + Hub 3 Puertos USB</t>
  </si>
  <si>
    <t>Redes y Adaptadores</t>
  </si>
  <si>
    <t>UE330</t>
  </si>
  <si>
    <t>6935364091728</t>
  </si>
  <si>
    <t>Caja 1 - Adaptadores</t>
  </si>
  <si>
    <t>Adaptador 2 en 1: te da un puerto de red Gigabit por cable (para cuando el Wi-Fi falla o tu portátil no tiene entrada de red RJ45) y al mismo tiempo te añade 3 puertos USB 3.0 rápidos para conectar memorias, mouse o teclado.</t>
  </si>
  <si>
    <t>Plug &amp; play en Windows y Mac.</t>
  </si>
  <si>
    <t>MTS-0046</t>
  </si>
  <si>
    <t>Adaptador Nano USB Wi-Fi TP-Link TL-WN725N 150Mbps</t>
  </si>
  <si>
    <t>TL-WN725N</t>
  </si>
  <si>
    <t>6935364050718</t>
  </si>
  <si>
    <t>Antena Wi-Fi miniatura de bolsillo. Se conecta a cualquier computador de escritorio o portátil que no tenga Wi-Fi o tenga la tarjeta dañada y le da conexión inmediata a internet sin estorbar. Cuenta con 3 años de garantía.</t>
  </si>
  <si>
    <t>3 años de garantía.</t>
  </si>
  <si>
    <t>MTS-0047</t>
  </si>
  <si>
    <t>Cámara de Seguridad Dahua Bullet Wi-Fi 6 5MP (Sirena, Luz, Audio 2 Vías, IP67)</t>
  </si>
  <si>
    <t>Seguridad y Videovigilancia</t>
  </si>
  <si>
    <t>DH-F5D-PV-2.8MM</t>
  </si>
  <si>
    <t>6938596005826</t>
  </si>
  <si>
    <t>Estante C - Seguridad</t>
  </si>
  <si>
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</si>
  <si>
    <t>Funciona con la app oficial DMSS.</t>
  </si>
  <si>
    <t>MTS-0048</t>
  </si>
  <si>
    <t>Impresora Multifuncional Epson EcoTank L6490 Tanque de Tinta Wi-Fi Dúplex ADF</t>
  </si>
  <si>
    <t>Impresión y Multifuncionales</t>
  </si>
  <si>
    <t>C11CJ88301</t>
  </si>
  <si>
    <t>010343958937</t>
  </si>
  <si>
    <t>Bodega Principal</t>
  </si>
  <si>
    <t>12 Meses (2 Años con registro)</t>
  </si>
  <si>
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</si>
  <si>
    <t>Tinta pigmentada resistente al agua.</t>
  </si>
  <si>
    <t>MTS-0049</t>
  </si>
  <si>
    <t>Impresora Térmica Epson TM-T20III POS de Recibos 80mm/58mm USB + Serial</t>
  </si>
  <si>
    <t>Impresión POS y Facturación</t>
  </si>
  <si>
    <t>C31CH51001</t>
  </si>
  <si>
    <t>010343951112</t>
  </si>
  <si>
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</si>
  <si>
    <t>3 años de garantía Epson.</t>
  </si>
  <si>
    <t>MTS-0050</t>
  </si>
  <si>
    <t>Memoria USB Kingston 128GB DataTraveler Exodia S USB 3.2</t>
  </si>
  <si>
    <t>Almacenamiento y Memorias</t>
  </si>
  <si>
    <t>Kingston</t>
  </si>
  <si>
    <t>DTXS/128GB</t>
  </si>
  <si>
    <t>740617329582</t>
  </si>
  <si>
    <t>Memoria USB de 128GB reales con tecnología USB 3.2 de alta velocidad. Te permite guardar y transportar fotos, videos pesados, música y documentos con rapidez y seguridad. Diseño con tapa protectora y 3 años de garantía.</t>
  </si>
  <si>
    <t>3 años de garantía Kingston.</t>
  </si>
  <si>
    <t>MTS-0051</t>
  </si>
  <si>
    <t>Memoria Micro SD ADATA 128GB Alta Resistencia 4K Video V30</t>
  </si>
  <si>
    <t>ADATA</t>
  </si>
  <si>
    <t>AUSDX128GUI3V30SHA2-RA1</t>
  </si>
  <si>
    <t>4711085934529</t>
  </si>
  <si>
    <t>60 Meses (5 Años)</t>
  </si>
  <si>
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</si>
  <si>
    <t>5 años de garantía ADATA.</t>
  </si>
  <si>
    <t>MTS-0052</t>
  </si>
  <si>
    <t>Memoria Micro SD 128GB Clase 10 con Adaptador SD</t>
  </si>
  <si>
    <t>Kingston / SanDisk</t>
  </si>
  <si>
    <t>ST2-128-S1</t>
  </si>
  <si>
    <t>740617301281</t>
  </si>
  <si>
    <t>Tarjeta MicroSD de 128GB Clase 10 para celulares, tablets, consolas de videojuegos o cámaras. Incluye adaptador para tamaño SD estándar.</t>
  </si>
  <si>
    <t>MTS-0053</t>
  </si>
  <si>
    <t>Cargador Original Lenovo 65W USB Tipo C Laptop</t>
  </si>
  <si>
    <t>4X20M26268</t>
  </si>
  <si>
    <t>191999201948</t>
  </si>
  <si>
    <t>Cargador original Lenovo de 65W con punta tipo C. Cuenta con carga rápida inteligente y sirve tanto para portátiles Lenovo, Dell, HP, Asus o MacBook, como para celulares modernos con puerto USB-C.</t>
  </si>
  <si>
    <t>Cargador original genuino.</t>
  </si>
  <si>
    <t>MTS-0054</t>
  </si>
  <si>
    <t>Licencia Microsoft 365 Familia (1 Año, 6 Usuarios, 1TB OneDrive c/u)</t>
  </si>
  <si>
    <t>Software y Licencias</t>
  </si>
  <si>
    <t>Microsoft</t>
  </si>
  <si>
    <t>EP2-32295</t>
  </si>
  <si>
    <t>889842861234</t>
  </si>
  <si>
    <t>Bóveda Digital</t>
  </si>
  <si>
    <t>12 Meses Soporte Microsoft</t>
  </si>
  <si>
    <t>Suscripción oficial por 1 año para hasta 6 personas de tu familia o equipo. Cada persona recibe Word, Excel, PowerPoint y Outlook actualizados para PC, Mac o celular, más 1.000 GB (1 Terabyte) de almacenamiento seguro en la nube OneDrive.</t>
  </si>
  <si>
    <t>Código de activación oficial 100% legal.</t>
  </si>
  <si>
    <t>MTS-0055</t>
  </si>
  <si>
    <t>Impresora Multifuncional HP LaserJet MFP Láser Monocromática</t>
  </si>
  <si>
    <t>HP LaserJet MFP</t>
  </si>
  <si>
    <t>192018349120</t>
  </si>
  <si>
    <t>12 Meses HP</t>
  </si>
  <si>
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</si>
  <si>
    <t>Tóner láser de alta duración.</t>
  </si>
  <si>
    <t>MTS-0056</t>
  </si>
  <si>
    <t>Mouse Inalámbrico Logitech M170 Óptico Color Rojo</t>
  </si>
  <si>
    <t>910-004941</t>
  </si>
  <si>
    <t>097855122711</t>
  </si>
  <si>
    <t>Mouse inalámbrico compacto y supercómodo en color rojo. Se conecta con un pequeño receptor USB y funciona hasta a 10 metros de distancia. Su pila dura hasta 12 meses continuos sin necesidad de cambiarla y es compatible con cualquier computador.</t>
  </si>
  <si>
    <t>1 año de batería incluida.</t>
  </si>
  <si>
    <t>TOTALES DISPONIBLES EN STOCK</t>
  </si>
  <si>
    <t>PANEL DE CONTROL — VALORIZACIÓN Y ROTACIÓN DE INVENTARIO</t>
  </si>
  <si>
    <t>VALOR TOTAL EN STOCK (COSTO)</t>
  </si>
  <si>
    <t>VALOR TOTAL EN STOCK (VENTA)</t>
  </si>
  <si>
    <t>UTILIDAD NETA ESTIMADA EN STOCK</t>
  </si>
  <si>
    <t>DESGLOSE DE MERCANCÍA POR CATEGORÍA</t>
  </si>
  <si>
    <t>Referencias</t>
  </si>
  <si>
    <t>Stock Actual</t>
  </si>
  <si>
    <t>Valor Costo Stock</t>
  </si>
  <si>
    <t>Valor Venta Stock</t>
  </si>
  <si>
    <t>Utilidad en Stock</t>
  </si>
  <si>
    <t>TOTAL GENERAL</t>
  </si>
  <si>
    <t>MATRIZ DE TRIAJE 4T — EVALUACIÓN DE EQUIPOS USADOS Y REPUESTOS</t>
  </si>
  <si>
    <t>T1: Venta Inmediata (Listo) | T2: Reacondicionar (Inversión &lt; 40% Venta) | T3: Banco Repuestos Taller | T4: Desecho / Reciclaje RAEE</t>
  </si>
  <si>
    <t>SKU Usado</t>
  </si>
  <si>
    <t>Equipo / Componente</t>
  </si>
  <si>
    <t>Marca / Modelo</t>
  </si>
  <si>
    <t>Código Barras / Serial</t>
  </si>
  <si>
    <t>Nivel Triaje (4T)</t>
  </si>
  <si>
    <t>Diagnóstico / Estado</t>
  </si>
  <si>
    <t>Acción Requerida</t>
  </si>
  <si>
    <t>Costo Inversión / Repuesto</t>
  </si>
  <si>
    <t>Precio Venta Estimado</t>
  </si>
  <si>
    <t>Utilidad Estimada</t>
  </si>
  <si>
    <t>Estado Actual</t>
  </si>
  <si>
    <t>Ubicación Taller</t>
  </si>
  <si>
    <t>Notas Técnicas</t>
  </si>
  <si>
    <t>MTS-U001</t>
  </si>
  <si>
    <t>Portátil HP ProBook 450 G5 Core i5 8va Gen</t>
  </si>
  <si>
    <t>HP ProBook 450 G5</t>
  </si>
  <si>
    <t>5CD8124XYZ</t>
  </si>
  <si>
    <t>T1 - Venta Directa</t>
  </si>
  <si>
    <t>Estado estético 9/10, batería dura 2.5h, pantalla perfecta.</t>
  </si>
  <si>
    <t>Mantenimiento preventivo + pasta térmica nueva.</t>
  </si>
  <si>
    <t>Listo para Venta</t>
  </si>
  <si>
    <t>Estante Usados - Nivel 1</t>
  </si>
  <si>
    <t>Incluye cargador original HP. Se entrega con SSD 256GB y 16GB RAM.</t>
  </si>
  <si>
    <t>MTS-U002</t>
  </si>
  <si>
    <t>Monitor LG 20" LED VGA/DVI</t>
  </si>
  <si>
    <t>LG 20M37A</t>
  </si>
  <si>
    <t>504NDZK1234</t>
  </si>
  <si>
    <t>Pantalla sin rayones ni pixeles muertos, incluye adaptador y cable VGA.</t>
  </si>
  <si>
    <t>Limpieza externa y prueba continua de 4 horas.</t>
  </si>
  <si>
    <t>Estante Usados - Nivel 2</t>
  </si>
  <si>
    <t>Ideal para cámaras de seguridad, oficina o segundo monitor.</t>
  </si>
  <si>
    <t>MTS-U003</t>
  </si>
  <si>
    <t>PC Torre Lenovo ThinkCentre M710s Core i5</t>
  </si>
  <si>
    <t>Lenovo M710s SFF</t>
  </si>
  <si>
    <t>MJ05ABCD</t>
  </si>
  <si>
    <t>T2 - Reacondicionar</t>
  </si>
  <si>
    <t>Enciende bien, sin disco duro, requiere 8GB RAM adicionales.</t>
  </si>
  <si>
    <t>Instalar SSD Kingston 480GB nuevo + 8GB RAM DDR4.</t>
  </si>
  <si>
    <t>En Proceso Taller</t>
  </si>
  <si>
    <t>Mesa de Trabajo 1</t>
  </si>
  <si>
    <t>Costo reparación (23%) es muy rentable. Precio de mercado $650.000.</t>
  </si>
  <si>
    <t>MTS-R001</t>
  </si>
  <si>
    <t>Pantalla 15.6" LED 30 Pines Slim FHD (Despiece)</t>
  </si>
  <si>
    <t>Dell Inspiron 3593</t>
  </si>
  <si>
    <t>N/A</t>
  </si>
  <si>
    <t>T3 - Banco Repuestos</t>
  </si>
  <si>
    <t>Board con corto en procesador, display 100% operativo.</t>
  </si>
  <si>
    <t>Guardar en caja antiestática para cambios de display a clientes.</t>
  </si>
  <si>
    <t>En Stock Repuestos</t>
  </si>
  <si>
    <t>Caja Repuestos - Pantallas</t>
  </si>
  <si>
    <t>Ahorra comprar display nuevo de $280.000 en reparaciones.</t>
  </si>
  <si>
    <t>MTS-R002</t>
  </si>
  <si>
    <t>Teclado Original Español Lenovo ThinkPad T480</t>
  </si>
  <si>
    <t>Equipo donante con daño en board. Teclado en perfecto estado.</t>
  </si>
  <si>
    <t>Limpieza y prueba de todas las teclas.</t>
  </si>
  <si>
    <t>Caja Repuestos - Teclados</t>
  </si>
  <si>
    <t>Repuesto genuino de alta rotación para clientes corporativos.</t>
  </si>
  <si>
    <t>MTS-D001</t>
  </si>
  <si>
    <t>Carcasa rota + Board quemada Todo en Uno HP 20"</t>
  </si>
  <si>
    <t>HP All-in-One 20</t>
  </si>
  <si>
    <t>T4 - Desecho / RAEE</t>
  </si>
  <si>
    <t>Procesador integrado quemado, pantalla fisurada, carcasa partida.</t>
  </si>
  <si>
    <t>Extraer RAM DDR3L y disipador de cobre. Desechar el resto.</t>
  </si>
  <si>
    <t>Para Descarte</t>
  </si>
  <si>
    <t>Caneca RAEE / Reciclaje</t>
  </si>
  <si>
    <t>Liberar espacio físico en el taller.</t>
  </si>
  <si>
    <t>CALCULADORA RÁPIDA DE PRECIOS POR CANAL — MAX TECHNOLOGY</t>
  </si>
  <si>
    <t>Escribe el costo de cualquier producto nuevo y el simulador calculará el precio exacto para cada canal.</t>
  </si>
  <si>
    <t>Costo de Compra Neto (con IVA si aplica):</t>
  </si>
  <si>
    <t>Flete o gastos adicionales:</t>
  </si>
  <si>
    <t>Margen Neto Deseado (%):</t>
  </si>
  <si>
    <t>Comisión MercadoLibre (%):</t>
  </si>
  <si>
    <t>Costo Flete Envío MercadoLibre (si aplica):</t>
  </si>
  <si>
    <t>Umbral Envío Gratis ML (COP):</t>
  </si>
  <si>
    <t>Costo Total Producto:</t>
  </si>
  <si>
    <t>PRECIO RECOMENDADO WHATSAPP / DIRECTO:</t>
  </si>
  <si>
    <t>Utilidad Neta Directa:</t>
  </si>
  <si>
    <t>PRECIO RECOMENDADO MERCADOLIBRE:</t>
  </si>
  <si>
    <t>Utilidad Neta MercadoLibre:</t>
  </si>
  <si>
    <t>PRECIO RECOMENDADO FACEBOOK MARKETPLACE:</t>
  </si>
  <si>
    <t>Margen Real: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</si>
</sst>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0.0%"/>
  </numFmts>
  <fonts count="16" x14ac:knownFonts="1">
    <font>
      <sz val="11"/>
      <color theme="1"/>
      <name val="Calibri"/>
      <family val="2"/>
      <scheme val="minor"/>
    </font>
    <font>
      <b/>
      <sz val="14"/>
      <color rgb="FFFFFFFF"/>
      <name val="Segoe UI"/>
    </font>
    <font>
      <b/>
      <sz val="9"/>
      <color rgb="FF1565C0"/>
      <name val="Segoe UI"/>
    </font>
    <font>
      <b/>
      <sz val="9.5"/>
      <color rgb="FFFFFFFF"/>
      <name val="Segoe UI"/>
    </font>
    <font>
      <b/>
      <sz val="9.5"/>
      <color rgb="FF000000"/>
      <name val="Segoe UI"/>
    </font>
    <font>
      <b/>
      <sz val="10"/>
      <color rgb="FFB71C1C"/>
      <name val="Segoe UI"/>
    </font>
    <font>
      <b/>
      <sz val="9.5"/>
      <color rgb="FF1E7E34"/>
      <name val="Segoe UI"/>
    </font>
    <font>
      <b/>
      <sz val="10"/>
      <color rgb="FFFFFFFF"/>
      <name val="Segoe UI"/>
    </font>
    <font>
      <b/>
      <sz val="9"/>
      <color rgb="FF555555"/>
      <name val="Segoe UI"/>
    </font>
    <font>
      <b/>
      <sz val="14"/>
      <color rgb="FF1565C0"/>
      <name val="Segoe UI"/>
    </font>
    <font>
      <b/>
      <sz val="14"/>
      <color rgb="FFD91F26"/>
      <name val="Segoe UI"/>
    </font>
    <font>
      <b/>
      <sz val="14"/>
      <color rgb="FF2E7D32"/>
      <name val="Segoe UI"/>
    </font>
    <font>
      <b/>
      <sz val="12"/>
      <color rgb="FFD91F26"/>
      <name val="Segoe UI"/>
    </font>
    <font>
      <b/>
      <sz val="9"/>
      <color rgb="FF37474F"/>
      <name val="Segoe UI"/>
    </font>
    <font>
      <i/>
      <sz val="10"/>
      <color rgb="FF444444"/>
      <name val="Segoe UI"/>
    </font>
    <font>
      <b/>
      <sz val="11"/>
      <color rgb="FFB71C1C"/>
      <name val="Segoe UI"/>
    </font>
  </fonts>
  <fills count="17">
    <fill>
      <patternFill patternType="none"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FFF9C4"/>
        <bgColor rgb="FFFFF9C4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2E7D32"/>
        <bgColor rgb="FF2E7D32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</fills>
  <borders count="3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9" borderId="2" xfId="0" applyFill="1" applyBorder="1" applyAlignment="1">
      <alignment horizontal="center" vertical="center"/>
    </xf>
    <xf numFmtId="0" fontId="0" fillId="9" borderId="2" xfId="0" applyFill="1" applyBorder="1" applyAlignment="1">
      <alignment horizontal="left" vertical="center"/>
    </xf>
    <xf numFmtId="49" fontId="0" fillId="9" borderId="2" xfId="0" applyNumberForma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4" fillId="7" borderId="2" xfId="0" applyNumberFormat="1" applyFont="1" applyFill="1" applyBorder="1" applyAlignment="1">
      <alignment horizontal="center" vertical="center"/>
    </xf>
    <xf numFmtId="3" fontId="0" fillId="9" borderId="2" xfId="0" applyNumberFormat="1" applyFill="1" applyBorder="1" applyAlignment="1">
      <alignment horizontal="center" vertical="center"/>
    </xf>
    <xf numFmtId="164" fontId="4" fillId="9" borderId="2" xfId="0" applyNumberFormat="1" applyFont="1" applyFill="1" applyBorder="1" applyAlignment="1">
      <alignment horizontal="right" vertical="center"/>
    </xf>
    <xf numFmtId="165" fontId="0" fillId="9" borderId="2" xfId="0" applyNumberFormat="1" applyFill="1" applyBorder="1" applyAlignment="1">
      <alignment horizontal="center" vertical="center"/>
    </xf>
    <xf numFmtId="164" fontId="5" fillId="9" borderId="2" xfId="0" applyNumberFormat="1" applyFont="1" applyFill="1" applyBorder="1" applyAlignment="1">
      <alignment horizontal="right" vertical="center"/>
    </xf>
    <xf numFmtId="164" fontId="0" fillId="9" borderId="2" xfId="0" applyNumberFormat="1" applyFill="1" applyBorder="1" applyAlignment="1">
      <alignment horizontal="right" vertical="center"/>
    </xf>
    <xf numFmtId="164" fontId="6" fillId="8" borderId="2" xfId="0" applyNumberFormat="1" applyFont="1" applyFill="1" applyBorder="1" applyAlignment="1">
      <alignment horizontal="right" vertical="center"/>
    </xf>
    <xf numFmtId="0" fontId="0" fillId="9" borderId="2" xfId="0" applyFill="1" applyBorder="1" applyAlignment="1">
      <alignment horizontal="left" vertical="center" wrapText="1"/>
    </xf>
    <xf numFmtId="0" fontId="0" fillId="10" borderId="2" xfId="0" applyFill="1" applyBorder="1" applyAlignment="1">
      <alignment horizontal="center" vertical="center"/>
    </xf>
    <xf numFmtId="0" fontId="0" fillId="10" borderId="2" xfId="0" applyFill="1" applyBorder="1" applyAlignment="1">
      <alignment horizontal="left" vertical="center"/>
    </xf>
    <xf numFmtId="49" fontId="0" fillId="10" borderId="2" xfId="0" applyNumberForma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3" fontId="0" fillId="10" borderId="2" xfId="0" applyNumberFormat="1" applyFill="1" applyBorder="1" applyAlignment="1">
      <alignment horizontal="center" vertical="center"/>
    </xf>
    <xf numFmtId="164" fontId="4" fillId="10" borderId="2" xfId="0" applyNumberFormat="1" applyFont="1" applyFill="1" applyBorder="1" applyAlignment="1">
      <alignment horizontal="right" vertical="center"/>
    </xf>
    <xf numFmtId="165" fontId="0" fillId="10" borderId="2" xfId="0" applyNumberFormat="1" applyFill="1" applyBorder="1" applyAlignment="1">
      <alignment horizontal="center" vertical="center"/>
    </xf>
    <xf numFmtId="164" fontId="5" fillId="10" borderId="2" xfId="0" applyNumberFormat="1" applyFont="1" applyFill="1" applyBorder="1" applyAlignment="1">
      <alignment horizontal="right" vertical="center"/>
    </xf>
    <xf numFmtId="164" fontId="0" fillId="10" borderId="2" xfId="0" applyNumberFormat="1" applyFill="1" applyBorder="1" applyAlignment="1">
      <alignment horizontal="right" vertical="center"/>
    </xf>
    <xf numFmtId="0" fontId="0" fillId="10" borderId="2" xfId="0" applyFill="1" applyBorder="1" applyAlignment="1">
      <alignment horizontal="left" vertical="center" wrapText="1"/>
    </xf>
    <xf numFmtId="3" fontId="7" fillId="4" borderId="0" xfId="0" applyNumberFormat="1" applyFont="1" applyFill="1" applyAlignment="1">
      <alignment horizontal="center" vertical="center"/>
    </xf>
    <xf numFmtId="0" fontId="7" fillId="4" borderId="0" xfId="0" applyFont="1" applyFill="1"/>
    <xf numFmtId="164" fontId="7" fillId="4" borderId="0" xfId="0" applyNumberFormat="1" applyFont="1" applyFill="1"/>
    <xf numFmtId="164" fontId="7" fillId="11" borderId="0" xfId="0" applyNumberFormat="1" applyFont="1" applyFill="1"/>
    <xf numFmtId="0" fontId="3" fillId="4" borderId="1" xfId="0" applyFont="1" applyFill="1" applyBorder="1" applyAlignment="1">
      <alignment horizontal="center" vertical="center"/>
    </xf>
    <xf numFmtId="164" fontId="6" fillId="9" borderId="2" xfId="0" applyNumberFormat="1" applyFont="1" applyFill="1" applyBorder="1" applyAlignment="1">
      <alignment horizontal="right" vertical="center"/>
    </xf>
    <xf numFmtId="164" fontId="6" fillId="10" borderId="2" xfId="0" applyNumberFormat="1" applyFont="1" applyFill="1" applyBorder="1" applyAlignment="1">
      <alignment horizontal="right" vertical="center"/>
    </xf>
    <xf numFmtId="0" fontId="7" fillId="4" borderId="0" xfId="0" applyFont="1" applyFill="1" applyAlignment="1">
      <alignment horizontal="left" vertical="center"/>
    </xf>
    <xf numFmtId="164" fontId="7" fillId="4" borderId="0" xfId="0" applyNumberFormat="1" applyFont="1" applyFill="1" applyAlignment="1">
      <alignment horizontal="right" vertical="center"/>
    </xf>
    <xf numFmtId="0" fontId="3" fillId="1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164" fontId="0" fillId="0" borderId="2" xfId="0" applyNumberFormat="1" applyBorder="1" applyAlignment="1">
      <alignment horizontal="right" vertical="center"/>
    </xf>
    <xf numFmtId="165" fontId="0" fillId="0" borderId="2" xfId="0" applyNumberFormat="1" applyBorder="1" applyAlignment="1">
      <alignment horizontal="right" vertical="center"/>
    </xf>
    <xf numFmtId="164" fontId="15" fillId="16" borderId="2" xfId="0" applyNumberFormat="1" applyFont="1" applyFill="1" applyBorder="1" applyAlignment="1">
      <alignment horizontal="right" vertical="center"/>
    </xf>
    <xf numFmtId="0" fontId="7" fillId="4" borderId="0" xfId="0" applyFont="1" applyFill="1" applyAlignment="1">
      <alignment horizontal="right" vertical="center"/>
    </xf>
    <xf numFmtId="0" fontId="0" fillId="0" borderId="0" xfId="0"/>
    <xf numFmtId="0" fontId="2" fillId="3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8" fillId="12" borderId="0" xfId="0" applyFont="1" applyFill="1" applyAlignment="1">
      <alignment horizontal="center" vertical="center"/>
    </xf>
    <xf numFmtId="164" fontId="11" fillId="9" borderId="0" xfId="0" applyNumberFormat="1" applyFont="1" applyFill="1" applyAlignment="1">
      <alignment horizontal="center" vertical="center"/>
    </xf>
    <xf numFmtId="164" fontId="10" fillId="9" borderId="0" xfId="0" applyNumberFormat="1" applyFont="1" applyFill="1" applyAlignment="1">
      <alignment horizontal="center" vertical="center"/>
    </xf>
    <xf numFmtId="0" fontId="12" fillId="0" borderId="0" xfId="0" applyFont="1"/>
    <xf numFmtId="164" fontId="9" fillId="9" borderId="0" xfId="0" applyNumberFormat="1" applyFont="1" applyFill="1" applyAlignment="1">
      <alignment horizontal="center" vertical="center"/>
    </xf>
    <xf numFmtId="0" fontId="13" fillId="14" borderId="0" xfId="0" applyFont="1" applyFill="1" applyAlignment="1">
      <alignment horizontal="left" vertical="center" indent="1"/>
    </xf>
    <xf numFmtId="0" fontId="1" fillId="13" borderId="0" xfId="0" applyFont="1" applyFill="1" applyAlignment="1">
      <alignment horizontal="left" vertical="center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0"/>
  <sheetViews>
    <sheetView tabSelected="1" topLeftCell="A35" workbookViewId="0">
      <selection activeCell="E48" sqref="A48:XFD48"/>
    </sheetView>
  </sheetViews>
  <sheetFormatPr baseColWidth="10" defaultColWidth="9.140625" defaultRowHeight="15" x14ac:dyDescent="0.25"/>
  <cols>
    <col min="1" max="1" width="12" customWidth="1"/>
    <col min="2" max="2" width="36" customWidth="1"/>
    <col min="3" max="3" width="22" customWidth="1"/>
    <col min="4" max="4" width="14" customWidth="1"/>
    <col min="5" max="5" width="18" customWidth="1"/>
    <col min="6" max="6" width="12" customWidth="1"/>
    <col min="7" max="7" width="20" customWidth="1"/>
    <col min="8" max="8" width="14" customWidth="1"/>
    <col min="9" max="10" width="16" customWidth="1"/>
    <col min="11" max="11" width="14" customWidth="1"/>
    <col min="12" max="12" width="20" customWidth="1"/>
    <col min="13" max="13" width="18" customWidth="1"/>
    <col min="14" max="14" width="14" customWidth="1"/>
    <col min="15" max="15" width="20" customWidth="1"/>
    <col min="16" max="16" width="13" customWidth="1"/>
    <col min="17" max="17" width="20" customWidth="1"/>
    <col min="18" max="18" width="18" customWidth="1"/>
    <col min="19" max="19" width="16" customWidth="1"/>
    <col min="20" max="20" width="14" customWidth="1"/>
    <col min="21" max="21" width="18" customWidth="1"/>
    <col min="22" max="22" width="26" customWidth="1"/>
    <col min="23" max="23" width="45" customWidth="1"/>
    <col min="24" max="24" width="30" customWidth="1"/>
  </cols>
  <sheetData>
    <row r="1" spans="1:24" ht="36" customHeight="1" x14ac:dyDescent="0.25">
      <c r="A1" s="43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</row>
    <row r="2" spans="1:24" ht="21.95" customHeight="1" x14ac:dyDescent="0.25">
      <c r="A2" s="42" t="s">
        <v>1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</row>
    <row r="3" spans="1:24" ht="27.95" customHeight="1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2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3" t="s">
        <v>16</v>
      </c>
      <c r="P3" s="1" t="s">
        <v>17</v>
      </c>
      <c r="Q3" s="3" t="s">
        <v>18</v>
      </c>
      <c r="R3" s="3" t="s">
        <v>19</v>
      </c>
      <c r="S3" s="3" t="s">
        <v>20</v>
      </c>
      <c r="T3" s="1" t="s">
        <v>21</v>
      </c>
      <c r="U3" s="1" t="s">
        <v>22</v>
      </c>
      <c r="V3" s="1" t="s">
        <v>23</v>
      </c>
      <c r="W3" s="1" t="s">
        <v>24</v>
      </c>
      <c r="X3" s="1" t="s">
        <v>25</v>
      </c>
    </row>
    <row r="4" spans="1:24" ht="24" customHeight="1" x14ac:dyDescent="0.25">
      <c r="A4" s="4" t="s">
        <v>26</v>
      </c>
      <c r="B4" s="5" t="s">
        <v>27</v>
      </c>
      <c r="C4" s="5" t="s">
        <v>28</v>
      </c>
      <c r="D4" s="4" t="s">
        <v>29</v>
      </c>
      <c r="E4" s="5" t="s">
        <v>30</v>
      </c>
      <c r="F4" s="4" t="s">
        <v>31</v>
      </c>
      <c r="G4" s="6" t="s">
        <v>32</v>
      </c>
      <c r="H4" s="4" t="s">
        <v>33</v>
      </c>
      <c r="I4" s="7" t="str">
        <f t="shared" ref="I4:I35" si="0">IF(J4&gt;0, "🟢 En Stock", "⚪ Agotado / Ref")</f>
        <v>🟢 En Stock</v>
      </c>
      <c r="J4" s="8">
        <v>1</v>
      </c>
      <c r="K4" s="9">
        <v>1</v>
      </c>
      <c r="L4" s="5" t="s">
        <v>34</v>
      </c>
      <c r="M4" s="10">
        <v>580115</v>
      </c>
      <c r="N4" s="11">
        <v>0.3</v>
      </c>
      <c r="O4" s="12">
        <f t="shared" ref="O4:O35" si="1">IF(N4&lt;1, ROUNDUP(M4/(1-N4), -3), M4)</f>
        <v>829000</v>
      </c>
      <c r="P4" s="11">
        <v>0.16</v>
      </c>
      <c r="Q4" s="10">
        <f t="shared" ref="Q4:Q35" si="2">IF((1-N4-P4)&gt;0, ROUNDUP((M4+IF(O4&gt;=90000,20000,0))/(1-N4-P4), -3), O4)</f>
        <v>1112000</v>
      </c>
      <c r="R4" s="13">
        <f t="shared" ref="R4:R35" si="3">O4</f>
        <v>829000</v>
      </c>
      <c r="S4" s="14">
        <f t="shared" ref="S4:S35" si="4">O4-M4</f>
        <v>248885</v>
      </c>
      <c r="T4" s="11">
        <f t="shared" ref="T4:T35" si="5">IF(O4&gt;0, (O4-M4)/O4, 0)</f>
        <v>0.30022316043425812</v>
      </c>
      <c r="U4" s="4" t="s">
        <v>35</v>
      </c>
      <c r="V4" s="5" t="s">
        <v>36</v>
      </c>
      <c r="W4" s="15" t="s">
        <v>37</v>
      </c>
      <c r="X4" s="15" t="s">
        <v>38</v>
      </c>
    </row>
    <row r="5" spans="1:24" ht="24" customHeight="1" x14ac:dyDescent="0.25">
      <c r="A5" s="16" t="s">
        <v>39</v>
      </c>
      <c r="B5" s="17" t="s">
        <v>40</v>
      </c>
      <c r="C5" s="17" t="s">
        <v>41</v>
      </c>
      <c r="D5" s="16" t="s">
        <v>42</v>
      </c>
      <c r="E5" s="17" t="s">
        <v>43</v>
      </c>
      <c r="F5" s="16" t="s">
        <v>31</v>
      </c>
      <c r="G5" s="18"/>
      <c r="H5" s="16" t="s">
        <v>44</v>
      </c>
      <c r="I5" s="19" t="str">
        <f t="shared" si="0"/>
        <v>🟢 En Stock</v>
      </c>
      <c r="J5" s="8">
        <v>3</v>
      </c>
      <c r="K5" s="20">
        <v>3</v>
      </c>
      <c r="L5" s="17" t="s">
        <v>45</v>
      </c>
      <c r="M5" s="21">
        <v>131293</v>
      </c>
      <c r="N5" s="22">
        <v>0.4</v>
      </c>
      <c r="O5" s="23">
        <f t="shared" si="1"/>
        <v>219000</v>
      </c>
      <c r="P5" s="22">
        <v>0.16</v>
      </c>
      <c r="Q5" s="21">
        <f t="shared" si="2"/>
        <v>344000</v>
      </c>
      <c r="R5" s="24">
        <f t="shared" si="3"/>
        <v>219000</v>
      </c>
      <c r="S5" s="14">
        <f t="shared" si="4"/>
        <v>87707</v>
      </c>
      <c r="T5" s="22">
        <f t="shared" si="5"/>
        <v>0.40048858447488583</v>
      </c>
      <c r="U5" s="16" t="s">
        <v>46</v>
      </c>
      <c r="V5" s="17" t="s">
        <v>47</v>
      </c>
      <c r="W5" s="25" t="s">
        <v>48</v>
      </c>
      <c r="X5" s="25" t="s">
        <v>49</v>
      </c>
    </row>
    <row r="6" spans="1:24" ht="24" customHeight="1" x14ac:dyDescent="0.25">
      <c r="A6" s="4" t="s">
        <v>50</v>
      </c>
      <c r="B6" s="5" t="s">
        <v>51</v>
      </c>
      <c r="C6" s="5" t="s">
        <v>52</v>
      </c>
      <c r="D6" s="4" t="s">
        <v>53</v>
      </c>
      <c r="E6" s="5" t="s">
        <v>54</v>
      </c>
      <c r="F6" s="4" t="s">
        <v>31</v>
      </c>
      <c r="G6" s="6" t="s">
        <v>55</v>
      </c>
      <c r="H6" s="4" t="s">
        <v>33</v>
      </c>
      <c r="I6" s="7" t="str">
        <f t="shared" si="0"/>
        <v>🟢 En Stock</v>
      </c>
      <c r="J6" s="8">
        <v>1</v>
      </c>
      <c r="K6" s="9">
        <v>2</v>
      </c>
      <c r="L6" s="5" t="s">
        <v>56</v>
      </c>
      <c r="M6" s="10">
        <v>39705</v>
      </c>
      <c r="N6" s="11">
        <v>0.35</v>
      </c>
      <c r="O6" s="12">
        <f t="shared" si="1"/>
        <v>62000</v>
      </c>
      <c r="P6" s="11">
        <v>0.16</v>
      </c>
      <c r="Q6" s="10">
        <f t="shared" si="2"/>
        <v>82000</v>
      </c>
      <c r="R6" s="13">
        <f t="shared" si="3"/>
        <v>62000</v>
      </c>
      <c r="S6" s="14">
        <f t="shared" si="4"/>
        <v>22295</v>
      </c>
      <c r="T6" s="11">
        <f t="shared" si="5"/>
        <v>0.35959677419354841</v>
      </c>
      <c r="U6" s="4" t="s">
        <v>57</v>
      </c>
      <c r="V6" s="5" t="s">
        <v>58</v>
      </c>
      <c r="W6" s="15" t="s">
        <v>59</v>
      </c>
      <c r="X6" s="15" t="s">
        <v>60</v>
      </c>
    </row>
    <row r="7" spans="1:24" ht="24" customHeight="1" x14ac:dyDescent="0.25">
      <c r="A7" s="16" t="s">
        <v>61</v>
      </c>
      <c r="B7" s="17" t="s">
        <v>62</v>
      </c>
      <c r="C7" s="17" t="s">
        <v>63</v>
      </c>
      <c r="D7" s="16" t="s">
        <v>64</v>
      </c>
      <c r="E7" s="17" t="s">
        <v>65</v>
      </c>
      <c r="F7" s="16" t="s">
        <v>31</v>
      </c>
      <c r="G7" s="18" t="s">
        <v>66</v>
      </c>
      <c r="H7" s="16" t="s">
        <v>33</v>
      </c>
      <c r="I7" s="19" t="str">
        <f t="shared" si="0"/>
        <v>🟢 En Stock</v>
      </c>
      <c r="J7" s="8">
        <v>1</v>
      </c>
      <c r="K7" s="20">
        <v>2</v>
      </c>
      <c r="L7" s="17" t="s">
        <v>67</v>
      </c>
      <c r="M7" s="21">
        <v>90586</v>
      </c>
      <c r="N7" s="22">
        <v>0.35</v>
      </c>
      <c r="O7" s="23">
        <f t="shared" si="1"/>
        <v>140000</v>
      </c>
      <c r="P7" s="22">
        <v>0.16</v>
      </c>
      <c r="Q7" s="21">
        <f t="shared" si="2"/>
        <v>226000</v>
      </c>
      <c r="R7" s="24">
        <f t="shared" si="3"/>
        <v>140000</v>
      </c>
      <c r="S7" s="14">
        <f t="shared" si="4"/>
        <v>49414</v>
      </c>
      <c r="T7" s="22">
        <f t="shared" si="5"/>
        <v>0.35295714285714286</v>
      </c>
      <c r="U7" s="16" t="s">
        <v>68</v>
      </c>
      <c r="V7" s="17" t="s">
        <v>69</v>
      </c>
      <c r="W7" s="25" t="s">
        <v>70</v>
      </c>
      <c r="X7" s="25" t="s">
        <v>71</v>
      </c>
    </row>
    <row r="8" spans="1:24" ht="24" customHeight="1" x14ac:dyDescent="0.25">
      <c r="A8" s="4" t="s">
        <v>72</v>
      </c>
      <c r="B8" s="5" t="s">
        <v>73</v>
      </c>
      <c r="C8" s="5" t="s">
        <v>52</v>
      </c>
      <c r="D8" s="4" t="s">
        <v>53</v>
      </c>
      <c r="E8" s="5" t="s">
        <v>74</v>
      </c>
      <c r="F8" s="4" t="s">
        <v>31</v>
      </c>
      <c r="G8" s="6" t="s">
        <v>75</v>
      </c>
      <c r="H8" s="4" t="s">
        <v>33</v>
      </c>
      <c r="I8" s="7" t="str">
        <f t="shared" si="0"/>
        <v>🟢 En Stock</v>
      </c>
      <c r="J8" s="8">
        <v>1</v>
      </c>
      <c r="K8" s="9">
        <v>2</v>
      </c>
      <c r="L8" s="5" t="s">
        <v>76</v>
      </c>
      <c r="M8" s="10">
        <v>59921</v>
      </c>
      <c r="N8" s="11">
        <v>0.38</v>
      </c>
      <c r="O8" s="12">
        <f t="shared" si="1"/>
        <v>97000</v>
      </c>
      <c r="P8" s="11">
        <v>0.16</v>
      </c>
      <c r="Q8" s="10">
        <f t="shared" si="2"/>
        <v>174000</v>
      </c>
      <c r="R8" s="13">
        <f t="shared" si="3"/>
        <v>97000</v>
      </c>
      <c r="S8" s="14">
        <f t="shared" si="4"/>
        <v>37079</v>
      </c>
      <c r="T8" s="11">
        <f t="shared" si="5"/>
        <v>0.38225773195876289</v>
      </c>
      <c r="U8" s="4" t="s">
        <v>77</v>
      </c>
      <c r="V8" s="5" t="s">
        <v>78</v>
      </c>
      <c r="W8" s="15" t="s">
        <v>79</v>
      </c>
      <c r="X8" s="15" t="s">
        <v>80</v>
      </c>
    </row>
    <row r="9" spans="1:24" ht="24" customHeight="1" x14ac:dyDescent="0.25">
      <c r="A9" s="16" t="s">
        <v>81</v>
      </c>
      <c r="B9" s="17" t="s">
        <v>82</v>
      </c>
      <c r="C9" s="17" t="s">
        <v>52</v>
      </c>
      <c r="D9" s="16" t="s">
        <v>53</v>
      </c>
      <c r="E9" s="17" t="s">
        <v>83</v>
      </c>
      <c r="F9" s="16" t="s">
        <v>31</v>
      </c>
      <c r="G9" s="18" t="s">
        <v>84</v>
      </c>
      <c r="H9" s="16" t="s">
        <v>33</v>
      </c>
      <c r="I9" s="19" t="str">
        <f t="shared" si="0"/>
        <v>🟢 En Stock</v>
      </c>
      <c r="J9" s="8">
        <v>1</v>
      </c>
      <c r="K9" s="20">
        <v>5</v>
      </c>
      <c r="L9" s="17" t="s">
        <v>76</v>
      </c>
      <c r="M9" s="21">
        <v>43435</v>
      </c>
      <c r="N9" s="22">
        <v>0.38</v>
      </c>
      <c r="O9" s="23">
        <f t="shared" si="1"/>
        <v>71000</v>
      </c>
      <c r="P9" s="22">
        <v>0.16</v>
      </c>
      <c r="Q9" s="21">
        <f t="shared" si="2"/>
        <v>95000</v>
      </c>
      <c r="R9" s="24">
        <f t="shared" si="3"/>
        <v>71000</v>
      </c>
      <c r="S9" s="14">
        <f t="shared" si="4"/>
        <v>27565</v>
      </c>
      <c r="T9" s="22">
        <f t="shared" si="5"/>
        <v>0.38823943661971833</v>
      </c>
      <c r="U9" s="16" t="s">
        <v>68</v>
      </c>
      <c r="V9" s="17" t="s">
        <v>85</v>
      </c>
      <c r="W9" s="25" t="s">
        <v>86</v>
      </c>
      <c r="X9" s="25" t="s">
        <v>87</v>
      </c>
    </row>
    <row r="10" spans="1:24" ht="24" customHeight="1" x14ac:dyDescent="0.25">
      <c r="A10" s="4" t="s">
        <v>88</v>
      </c>
      <c r="B10" s="5" t="s">
        <v>89</v>
      </c>
      <c r="C10" s="5" t="s">
        <v>52</v>
      </c>
      <c r="D10" s="4" t="s">
        <v>53</v>
      </c>
      <c r="E10" s="5" t="s">
        <v>90</v>
      </c>
      <c r="F10" s="4" t="s">
        <v>31</v>
      </c>
      <c r="G10" s="6" t="s">
        <v>91</v>
      </c>
      <c r="H10" s="4" t="s">
        <v>33</v>
      </c>
      <c r="I10" s="7" t="str">
        <f t="shared" si="0"/>
        <v>🟢 En Stock</v>
      </c>
      <c r="J10" s="8">
        <v>1</v>
      </c>
      <c r="K10" s="9">
        <v>1</v>
      </c>
      <c r="L10" s="5" t="s">
        <v>76</v>
      </c>
      <c r="M10" s="10">
        <v>26180</v>
      </c>
      <c r="N10" s="11">
        <v>0.35</v>
      </c>
      <c r="O10" s="12">
        <f t="shared" si="1"/>
        <v>41000</v>
      </c>
      <c r="P10" s="11">
        <v>0.16</v>
      </c>
      <c r="Q10" s="10">
        <f t="shared" si="2"/>
        <v>54000</v>
      </c>
      <c r="R10" s="13">
        <f t="shared" si="3"/>
        <v>41000</v>
      </c>
      <c r="S10" s="14">
        <f t="shared" si="4"/>
        <v>14820</v>
      </c>
      <c r="T10" s="11">
        <f t="shared" si="5"/>
        <v>0.36146341463414633</v>
      </c>
      <c r="U10" s="4" t="s">
        <v>92</v>
      </c>
      <c r="V10" s="5" t="s">
        <v>93</v>
      </c>
      <c r="W10" s="15" t="s">
        <v>94</v>
      </c>
      <c r="X10" s="15" t="s">
        <v>95</v>
      </c>
    </row>
    <row r="11" spans="1:24" ht="24" customHeight="1" x14ac:dyDescent="0.25">
      <c r="A11" s="16" t="s">
        <v>96</v>
      </c>
      <c r="B11" s="17" t="s">
        <v>97</v>
      </c>
      <c r="C11" s="17" t="s">
        <v>98</v>
      </c>
      <c r="D11" s="16" t="s">
        <v>99</v>
      </c>
      <c r="E11" s="17" t="s">
        <v>100</v>
      </c>
      <c r="F11" s="16" t="s">
        <v>31</v>
      </c>
      <c r="G11" s="18" t="s">
        <v>101</v>
      </c>
      <c r="H11" s="16" t="s">
        <v>33</v>
      </c>
      <c r="I11" s="19" t="str">
        <f t="shared" si="0"/>
        <v>🟢 En Stock</v>
      </c>
      <c r="J11" s="8">
        <v>1</v>
      </c>
      <c r="K11" s="20">
        <v>1</v>
      </c>
      <c r="L11" s="17" t="s">
        <v>102</v>
      </c>
      <c r="M11" s="21">
        <v>45000</v>
      </c>
      <c r="N11" s="22">
        <v>0.4</v>
      </c>
      <c r="O11" s="23">
        <f t="shared" si="1"/>
        <v>75000</v>
      </c>
      <c r="P11" s="22">
        <v>0.16</v>
      </c>
      <c r="Q11" s="21">
        <f t="shared" si="2"/>
        <v>103000</v>
      </c>
      <c r="R11" s="24">
        <f t="shared" si="3"/>
        <v>75000</v>
      </c>
      <c r="S11" s="14">
        <f t="shared" si="4"/>
        <v>30000</v>
      </c>
      <c r="T11" s="22">
        <f t="shared" si="5"/>
        <v>0.4</v>
      </c>
      <c r="U11" s="16" t="s">
        <v>103</v>
      </c>
      <c r="V11" s="17" t="s">
        <v>104</v>
      </c>
      <c r="W11" s="25" t="s">
        <v>105</v>
      </c>
      <c r="X11" s="25" t="s">
        <v>106</v>
      </c>
    </row>
    <row r="12" spans="1:24" ht="24" customHeight="1" x14ac:dyDescent="0.25">
      <c r="A12" s="4" t="s">
        <v>107</v>
      </c>
      <c r="B12" s="5" t="s">
        <v>108</v>
      </c>
      <c r="C12" s="5" t="s">
        <v>52</v>
      </c>
      <c r="D12" s="4" t="s">
        <v>109</v>
      </c>
      <c r="E12" s="5" t="s">
        <v>110</v>
      </c>
      <c r="F12" s="4" t="s">
        <v>31</v>
      </c>
      <c r="G12" s="6" t="s">
        <v>111</v>
      </c>
      <c r="H12" s="4" t="s">
        <v>33</v>
      </c>
      <c r="I12" s="7" t="str">
        <f t="shared" si="0"/>
        <v>🟢 En Stock</v>
      </c>
      <c r="J12" s="8">
        <v>1</v>
      </c>
      <c r="K12" s="9">
        <v>1</v>
      </c>
      <c r="L12" s="5" t="s">
        <v>76</v>
      </c>
      <c r="M12" s="10">
        <v>10948</v>
      </c>
      <c r="N12" s="11">
        <v>0.5</v>
      </c>
      <c r="O12" s="12">
        <f t="shared" si="1"/>
        <v>22000</v>
      </c>
      <c r="P12" s="11">
        <v>0.16</v>
      </c>
      <c r="Q12" s="10">
        <f t="shared" si="2"/>
        <v>33000</v>
      </c>
      <c r="R12" s="13">
        <f t="shared" si="3"/>
        <v>22000</v>
      </c>
      <c r="S12" s="14">
        <f t="shared" si="4"/>
        <v>11052</v>
      </c>
      <c r="T12" s="11">
        <f t="shared" si="5"/>
        <v>0.50236363636363635</v>
      </c>
      <c r="U12" s="4" t="s">
        <v>35</v>
      </c>
      <c r="V12" s="5" t="s">
        <v>112</v>
      </c>
      <c r="W12" s="15" t="s">
        <v>113</v>
      </c>
      <c r="X12" s="15" t="s">
        <v>114</v>
      </c>
    </row>
    <row r="13" spans="1:24" ht="24" customHeight="1" x14ac:dyDescent="0.25">
      <c r="A13" s="16" t="s">
        <v>115</v>
      </c>
      <c r="B13" s="17" t="s">
        <v>116</v>
      </c>
      <c r="C13" s="17" t="s">
        <v>117</v>
      </c>
      <c r="D13" s="16" t="s">
        <v>118</v>
      </c>
      <c r="E13" s="17" t="s">
        <v>119</v>
      </c>
      <c r="F13" s="16" t="s">
        <v>120</v>
      </c>
      <c r="G13" s="18"/>
      <c r="H13" s="16" t="s">
        <v>33</v>
      </c>
      <c r="I13" s="19" t="str">
        <f t="shared" si="0"/>
        <v>🟢 En Stock</v>
      </c>
      <c r="J13" s="8">
        <v>1</v>
      </c>
      <c r="K13" s="20">
        <v>1</v>
      </c>
      <c r="L13" s="17" t="s">
        <v>56</v>
      </c>
      <c r="M13" s="21">
        <v>10000</v>
      </c>
      <c r="N13" s="22">
        <v>0.6</v>
      </c>
      <c r="O13" s="23">
        <f t="shared" si="1"/>
        <v>25000</v>
      </c>
      <c r="P13" s="22">
        <v>0.16</v>
      </c>
      <c r="Q13" s="21">
        <f t="shared" si="2"/>
        <v>42000</v>
      </c>
      <c r="R13" s="24">
        <f t="shared" si="3"/>
        <v>25000</v>
      </c>
      <c r="S13" s="14">
        <f t="shared" si="4"/>
        <v>15000</v>
      </c>
      <c r="T13" s="22">
        <f t="shared" si="5"/>
        <v>0.6</v>
      </c>
      <c r="U13" s="16" t="s">
        <v>121</v>
      </c>
      <c r="V13" s="17" t="s">
        <v>122</v>
      </c>
      <c r="W13" s="25" t="s">
        <v>123</v>
      </c>
      <c r="X13" s="25" t="s">
        <v>124</v>
      </c>
    </row>
    <row r="14" spans="1:24" ht="24" customHeight="1" x14ac:dyDescent="0.25">
      <c r="A14" s="4" t="s">
        <v>125</v>
      </c>
      <c r="B14" s="5" t="s">
        <v>126</v>
      </c>
      <c r="C14" s="5" t="s">
        <v>127</v>
      </c>
      <c r="D14" s="4" t="s">
        <v>128</v>
      </c>
      <c r="E14" s="5" t="s">
        <v>129</v>
      </c>
      <c r="F14" s="4" t="s">
        <v>31</v>
      </c>
      <c r="G14" s="6" t="s">
        <v>130</v>
      </c>
      <c r="H14" s="4" t="s">
        <v>33</v>
      </c>
      <c r="I14" s="7" t="str">
        <f t="shared" si="0"/>
        <v>🟢 En Stock</v>
      </c>
      <c r="J14" s="8">
        <v>2</v>
      </c>
      <c r="K14" s="9">
        <v>2</v>
      </c>
      <c r="L14" s="5" t="s">
        <v>131</v>
      </c>
      <c r="M14" s="10">
        <v>25000</v>
      </c>
      <c r="N14" s="11">
        <v>0.44</v>
      </c>
      <c r="O14" s="12">
        <f t="shared" si="1"/>
        <v>45000</v>
      </c>
      <c r="P14" s="11">
        <v>0.16</v>
      </c>
      <c r="Q14" s="10">
        <f t="shared" si="2"/>
        <v>63000</v>
      </c>
      <c r="R14" s="13">
        <f t="shared" si="3"/>
        <v>45000</v>
      </c>
      <c r="S14" s="14">
        <f t="shared" si="4"/>
        <v>20000</v>
      </c>
      <c r="T14" s="11">
        <f t="shared" si="5"/>
        <v>0.44444444444444442</v>
      </c>
      <c r="U14" s="4" t="s">
        <v>132</v>
      </c>
      <c r="V14" s="5" t="s">
        <v>133</v>
      </c>
      <c r="W14" s="15" t="s">
        <v>134</v>
      </c>
      <c r="X14" s="15" t="s">
        <v>135</v>
      </c>
    </row>
    <row r="15" spans="1:24" ht="24" customHeight="1" x14ac:dyDescent="0.25">
      <c r="A15" s="16" t="s">
        <v>136</v>
      </c>
      <c r="B15" s="17" t="s">
        <v>137</v>
      </c>
      <c r="C15" s="17" t="s">
        <v>127</v>
      </c>
      <c r="D15" s="16" t="s">
        <v>138</v>
      </c>
      <c r="E15" s="17" t="s">
        <v>139</v>
      </c>
      <c r="F15" s="16" t="s">
        <v>140</v>
      </c>
      <c r="G15" s="18" t="s">
        <v>141</v>
      </c>
      <c r="H15" s="16" t="s">
        <v>33</v>
      </c>
      <c r="I15" s="19" t="str">
        <f t="shared" si="0"/>
        <v>🟢 En Stock</v>
      </c>
      <c r="J15" s="8">
        <v>1</v>
      </c>
      <c r="K15" s="20">
        <v>1</v>
      </c>
      <c r="L15" s="17" t="s">
        <v>142</v>
      </c>
      <c r="M15" s="21">
        <v>30000</v>
      </c>
      <c r="N15" s="22">
        <v>0.4</v>
      </c>
      <c r="O15" s="23">
        <f t="shared" si="1"/>
        <v>50000</v>
      </c>
      <c r="P15" s="22">
        <v>0.16</v>
      </c>
      <c r="Q15" s="21">
        <f t="shared" si="2"/>
        <v>69000</v>
      </c>
      <c r="R15" s="24">
        <f t="shared" si="3"/>
        <v>50000</v>
      </c>
      <c r="S15" s="14">
        <f t="shared" si="4"/>
        <v>20000</v>
      </c>
      <c r="T15" s="22">
        <f t="shared" si="5"/>
        <v>0.4</v>
      </c>
      <c r="U15" s="16" t="s">
        <v>143</v>
      </c>
      <c r="V15" s="17" t="s">
        <v>144</v>
      </c>
      <c r="W15" s="25" t="s">
        <v>145</v>
      </c>
      <c r="X15" s="25" t="s">
        <v>146</v>
      </c>
    </row>
    <row r="16" spans="1:24" ht="24" customHeight="1" x14ac:dyDescent="0.25">
      <c r="A16" s="4" t="s">
        <v>147</v>
      </c>
      <c r="B16" s="5" t="s">
        <v>148</v>
      </c>
      <c r="C16" s="5" t="s">
        <v>127</v>
      </c>
      <c r="D16" s="4" t="s">
        <v>138</v>
      </c>
      <c r="E16" s="5" t="s">
        <v>149</v>
      </c>
      <c r="F16" s="4" t="s">
        <v>150</v>
      </c>
      <c r="G16" s="6" t="s">
        <v>151</v>
      </c>
      <c r="H16" s="4" t="s">
        <v>33</v>
      </c>
      <c r="I16" s="7" t="str">
        <f t="shared" si="0"/>
        <v>🟢 En Stock</v>
      </c>
      <c r="J16" s="8">
        <v>1</v>
      </c>
      <c r="K16" s="9">
        <v>1</v>
      </c>
      <c r="L16" s="5" t="s">
        <v>142</v>
      </c>
      <c r="M16" s="10">
        <v>30000</v>
      </c>
      <c r="N16" s="11">
        <v>0.4</v>
      </c>
      <c r="O16" s="12">
        <f t="shared" si="1"/>
        <v>50000</v>
      </c>
      <c r="P16" s="11">
        <v>0.16</v>
      </c>
      <c r="Q16" s="10">
        <f t="shared" si="2"/>
        <v>69000</v>
      </c>
      <c r="R16" s="13">
        <f t="shared" si="3"/>
        <v>50000</v>
      </c>
      <c r="S16" s="14">
        <f t="shared" si="4"/>
        <v>20000</v>
      </c>
      <c r="T16" s="11">
        <f t="shared" si="5"/>
        <v>0.4</v>
      </c>
      <c r="U16" s="4" t="s">
        <v>143</v>
      </c>
      <c r="V16" s="5" t="s">
        <v>152</v>
      </c>
      <c r="W16" s="15" t="s">
        <v>153</v>
      </c>
      <c r="X16" s="15" t="s">
        <v>154</v>
      </c>
    </row>
    <row r="17" spans="1:24" ht="24" customHeight="1" x14ac:dyDescent="0.25">
      <c r="A17" s="16" t="s">
        <v>155</v>
      </c>
      <c r="B17" s="17" t="s">
        <v>156</v>
      </c>
      <c r="C17" s="17" t="s">
        <v>127</v>
      </c>
      <c r="D17" s="16" t="s">
        <v>138</v>
      </c>
      <c r="E17" s="17" t="s">
        <v>157</v>
      </c>
      <c r="F17" s="16" t="s">
        <v>158</v>
      </c>
      <c r="G17" s="18" t="s">
        <v>159</v>
      </c>
      <c r="H17" s="16" t="s">
        <v>33</v>
      </c>
      <c r="I17" s="19" t="str">
        <f t="shared" si="0"/>
        <v>🟢 En Stock</v>
      </c>
      <c r="J17" s="8">
        <v>1</v>
      </c>
      <c r="K17" s="20">
        <v>1</v>
      </c>
      <c r="L17" s="17" t="s">
        <v>142</v>
      </c>
      <c r="M17" s="21">
        <v>30000</v>
      </c>
      <c r="N17" s="22">
        <v>0.4</v>
      </c>
      <c r="O17" s="23">
        <f t="shared" si="1"/>
        <v>50000</v>
      </c>
      <c r="P17" s="22">
        <v>0.16</v>
      </c>
      <c r="Q17" s="21">
        <f t="shared" si="2"/>
        <v>69000</v>
      </c>
      <c r="R17" s="24">
        <f t="shared" si="3"/>
        <v>50000</v>
      </c>
      <c r="S17" s="14">
        <f t="shared" si="4"/>
        <v>20000</v>
      </c>
      <c r="T17" s="22">
        <f t="shared" si="5"/>
        <v>0.4</v>
      </c>
      <c r="U17" s="16" t="s">
        <v>143</v>
      </c>
      <c r="V17" s="17" t="s">
        <v>160</v>
      </c>
      <c r="W17" s="25" t="s">
        <v>161</v>
      </c>
      <c r="X17" s="25" t="s">
        <v>154</v>
      </c>
    </row>
    <row r="18" spans="1:24" ht="24" customHeight="1" x14ac:dyDescent="0.25">
      <c r="A18" s="4" t="s">
        <v>162</v>
      </c>
      <c r="B18" s="5" t="s">
        <v>163</v>
      </c>
      <c r="C18" s="5" t="s">
        <v>127</v>
      </c>
      <c r="D18" s="4" t="s">
        <v>138</v>
      </c>
      <c r="E18" s="5" t="s">
        <v>164</v>
      </c>
      <c r="F18" s="4" t="s">
        <v>158</v>
      </c>
      <c r="G18" s="6" t="s">
        <v>165</v>
      </c>
      <c r="H18" s="4" t="s">
        <v>33</v>
      </c>
      <c r="I18" s="7" t="str">
        <f t="shared" si="0"/>
        <v>🟢 En Stock</v>
      </c>
      <c r="J18" s="8">
        <v>1</v>
      </c>
      <c r="K18" s="9">
        <v>1</v>
      </c>
      <c r="L18" s="5" t="s">
        <v>142</v>
      </c>
      <c r="M18" s="10">
        <v>20000</v>
      </c>
      <c r="N18" s="11">
        <v>0.33</v>
      </c>
      <c r="O18" s="12">
        <f t="shared" si="1"/>
        <v>30000</v>
      </c>
      <c r="P18" s="11">
        <v>0.16</v>
      </c>
      <c r="Q18" s="10">
        <f t="shared" si="2"/>
        <v>40000</v>
      </c>
      <c r="R18" s="13">
        <f t="shared" si="3"/>
        <v>30000</v>
      </c>
      <c r="S18" s="14">
        <f t="shared" si="4"/>
        <v>10000</v>
      </c>
      <c r="T18" s="11">
        <f t="shared" si="5"/>
        <v>0.33333333333333331</v>
      </c>
      <c r="U18" s="4" t="s">
        <v>143</v>
      </c>
      <c r="V18" s="5" t="s">
        <v>166</v>
      </c>
      <c r="W18" s="15" t="s">
        <v>167</v>
      </c>
      <c r="X18" s="15" t="s">
        <v>168</v>
      </c>
    </row>
    <row r="19" spans="1:24" ht="24" customHeight="1" x14ac:dyDescent="0.25">
      <c r="A19" s="16" t="s">
        <v>169</v>
      </c>
      <c r="B19" s="17" t="s">
        <v>170</v>
      </c>
      <c r="C19" s="17" t="s">
        <v>127</v>
      </c>
      <c r="D19" s="16" t="s">
        <v>138</v>
      </c>
      <c r="E19" s="17" t="s">
        <v>171</v>
      </c>
      <c r="F19" s="16" t="s">
        <v>140</v>
      </c>
      <c r="G19" s="18" t="s">
        <v>172</v>
      </c>
      <c r="H19" s="16" t="s">
        <v>33</v>
      </c>
      <c r="I19" s="19" t="str">
        <f t="shared" si="0"/>
        <v>🟢 En Stock</v>
      </c>
      <c r="J19" s="8">
        <v>1</v>
      </c>
      <c r="K19" s="20">
        <v>1</v>
      </c>
      <c r="L19" s="17" t="s">
        <v>142</v>
      </c>
      <c r="M19" s="21">
        <v>20000</v>
      </c>
      <c r="N19" s="22">
        <v>0.33</v>
      </c>
      <c r="O19" s="23">
        <f t="shared" si="1"/>
        <v>30000</v>
      </c>
      <c r="P19" s="22">
        <v>0.16</v>
      </c>
      <c r="Q19" s="21">
        <f t="shared" si="2"/>
        <v>40000</v>
      </c>
      <c r="R19" s="24">
        <f t="shared" si="3"/>
        <v>30000</v>
      </c>
      <c r="S19" s="14">
        <f t="shared" si="4"/>
        <v>10000</v>
      </c>
      <c r="T19" s="22">
        <f t="shared" si="5"/>
        <v>0.33333333333333331</v>
      </c>
      <c r="U19" s="16" t="s">
        <v>143</v>
      </c>
      <c r="V19" s="17" t="s">
        <v>173</v>
      </c>
      <c r="W19" s="25" t="s">
        <v>174</v>
      </c>
      <c r="X19" s="25" t="s">
        <v>168</v>
      </c>
    </row>
    <row r="20" spans="1:24" ht="24" customHeight="1" x14ac:dyDescent="0.25">
      <c r="A20" s="4" t="s">
        <v>175</v>
      </c>
      <c r="B20" s="5" t="s">
        <v>176</v>
      </c>
      <c r="C20" s="5" t="s">
        <v>127</v>
      </c>
      <c r="D20" s="4" t="s">
        <v>138</v>
      </c>
      <c r="E20" s="5" t="s">
        <v>177</v>
      </c>
      <c r="F20" s="4" t="s">
        <v>31</v>
      </c>
      <c r="G20" s="6" t="s">
        <v>178</v>
      </c>
      <c r="H20" s="4" t="s">
        <v>33</v>
      </c>
      <c r="I20" s="7" t="str">
        <f t="shared" si="0"/>
        <v>🟢 En Stock</v>
      </c>
      <c r="J20" s="8">
        <v>1</v>
      </c>
      <c r="K20" s="9">
        <v>1</v>
      </c>
      <c r="L20" s="5" t="s">
        <v>142</v>
      </c>
      <c r="M20" s="10">
        <v>20000</v>
      </c>
      <c r="N20" s="11">
        <v>0.33</v>
      </c>
      <c r="O20" s="12">
        <f t="shared" si="1"/>
        <v>30000</v>
      </c>
      <c r="P20" s="11">
        <v>0.16</v>
      </c>
      <c r="Q20" s="10">
        <f t="shared" si="2"/>
        <v>40000</v>
      </c>
      <c r="R20" s="13">
        <f t="shared" si="3"/>
        <v>30000</v>
      </c>
      <c r="S20" s="14">
        <f t="shared" si="4"/>
        <v>10000</v>
      </c>
      <c r="T20" s="11">
        <f t="shared" si="5"/>
        <v>0.33333333333333331</v>
      </c>
      <c r="U20" s="4" t="s">
        <v>143</v>
      </c>
      <c r="V20" s="5" t="s">
        <v>179</v>
      </c>
      <c r="W20" s="15" t="s">
        <v>180</v>
      </c>
      <c r="X20" s="15" t="s">
        <v>168</v>
      </c>
    </row>
    <row r="21" spans="1:24" ht="24" customHeight="1" x14ac:dyDescent="0.25">
      <c r="A21" s="16" t="s">
        <v>181</v>
      </c>
      <c r="B21" s="17" t="s">
        <v>182</v>
      </c>
      <c r="C21" s="17" t="s">
        <v>127</v>
      </c>
      <c r="D21" s="16" t="s">
        <v>183</v>
      </c>
      <c r="E21" s="17" t="s">
        <v>184</v>
      </c>
      <c r="F21" s="16" t="s">
        <v>158</v>
      </c>
      <c r="G21" s="18" t="s">
        <v>185</v>
      </c>
      <c r="H21" s="16" t="s">
        <v>33</v>
      </c>
      <c r="I21" s="19" t="str">
        <f t="shared" si="0"/>
        <v>🟢 En Stock</v>
      </c>
      <c r="J21" s="8">
        <v>1</v>
      </c>
      <c r="K21" s="20">
        <v>1</v>
      </c>
      <c r="L21" s="17" t="s">
        <v>186</v>
      </c>
      <c r="M21" s="21">
        <v>20000</v>
      </c>
      <c r="N21" s="22">
        <v>0.33</v>
      </c>
      <c r="O21" s="23">
        <f t="shared" si="1"/>
        <v>30000</v>
      </c>
      <c r="P21" s="22">
        <v>0.16</v>
      </c>
      <c r="Q21" s="21">
        <f t="shared" si="2"/>
        <v>40000</v>
      </c>
      <c r="R21" s="24">
        <f t="shared" si="3"/>
        <v>30000</v>
      </c>
      <c r="S21" s="14">
        <f t="shared" si="4"/>
        <v>10000</v>
      </c>
      <c r="T21" s="22">
        <f t="shared" si="5"/>
        <v>0.33333333333333331</v>
      </c>
      <c r="U21" s="16" t="s">
        <v>187</v>
      </c>
      <c r="V21" s="17" t="s">
        <v>188</v>
      </c>
      <c r="W21" s="25" t="s">
        <v>189</v>
      </c>
      <c r="X21" s="25" t="s">
        <v>190</v>
      </c>
    </row>
    <row r="22" spans="1:24" ht="24" customHeight="1" x14ac:dyDescent="0.25">
      <c r="A22" s="4" t="s">
        <v>191</v>
      </c>
      <c r="B22" s="5" t="s">
        <v>192</v>
      </c>
      <c r="C22" s="5" t="s">
        <v>127</v>
      </c>
      <c r="D22" s="4" t="s">
        <v>183</v>
      </c>
      <c r="E22" s="5" t="s">
        <v>193</v>
      </c>
      <c r="F22" s="4" t="s">
        <v>150</v>
      </c>
      <c r="G22" s="6" t="s">
        <v>185</v>
      </c>
      <c r="H22" s="4" t="s">
        <v>33</v>
      </c>
      <c r="I22" s="7" t="str">
        <f t="shared" si="0"/>
        <v>🟢 En Stock</v>
      </c>
      <c r="J22" s="8">
        <v>1</v>
      </c>
      <c r="K22" s="9">
        <v>1</v>
      </c>
      <c r="L22" s="5" t="s">
        <v>186</v>
      </c>
      <c r="M22" s="10">
        <v>20000</v>
      </c>
      <c r="N22" s="11">
        <v>0.33</v>
      </c>
      <c r="O22" s="12">
        <f t="shared" si="1"/>
        <v>30000</v>
      </c>
      <c r="P22" s="11">
        <v>0.16</v>
      </c>
      <c r="Q22" s="10">
        <f t="shared" si="2"/>
        <v>40000</v>
      </c>
      <c r="R22" s="13">
        <f t="shared" si="3"/>
        <v>30000</v>
      </c>
      <c r="S22" s="14">
        <f t="shared" si="4"/>
        <v>10000</v>
      </c>
      <c r="T22" s="11">
        <f t="shared" si="5"/>
        <v>0.33333333333333331</v>
      </c>
      <c r="U22" s="4" t="s">
        <v>187</v>
      </c>
      <c r="V22" s="5" t="s">
        <v>194</v>
      </c>
      <c r="W22" s="15" t="s">
        <v>195</v>
      </c>
      <c r="X22" s="15" t="s">
        <v>190</v>
      </c>
    </row>
    <row r="23" spans="1:24" ht="24" customHeight="1" x14ac:dyDescent="0.25">
      <c r="A23" s="16" t="s">
        <v>196</v>
      </c>
      <c r="B23" s="17" t="s">
        <v>197</v>
      </c>
      <c r="C23" s="17" t="s">
        <v>127</v>
      </c>
      <c r="D23" s="16" t="s">
        <v>183</v>
      </c>
      <c r="E23" s="17" t="s">
        <v>198</v>
      </c>
      <c r="F23" s="16" t="s">
        <v>140</v>
      </c>
      <c r="G23" s="18" t="s">
        <v>185</v>
      </c>
      <c r="H23" s="16" t="s">
        <v>33</v>
      </c>
      <c r="I23" s="19" t="str">
        <f t="shared" si="0"/>
        <v>🟢 En Stock</v>
      </c>
      <c r="J23" s="8">
        <v>1</v>
      </c>
      <c r="K23" s="20">
        <v>1</v>
      </c>
      <c r="L23" s="17" t="s">
        <v>186</v>
      </c>
      <c r="M23" s="21">
        <v>20000</v>
      </c>
      <c r="N23" s="22">
        <v>0.33</v>
      </c>
      <c r="O23" s="23">
        <f t="shared" si="1"/>
        <v>30000</v>
      </c>
      <c r="P23" s="22">
        <v>0.16</v>
      </c>
      <c r="Q23" s="21">
        <f t="shared" si="2"/>
        <v>40000</v>
      </c>
      <c r="R23" s="24">
        <f t="shared" si="3"/>
        <v>30000</v>
      </c>
      <c r="S23" s="14">
        <f t="shared" si="4"/>
        <v>10000</v>
      </c>
      <c r="T23" s="22">
        <f t="shared" si="5"/>
        <v>0.33333333333333331</v>
      </c>
      <c r="U23" s="16" t="s">
        <v>187</v>
      </c>
      <c r="V23" s="17" t="s">
        <v>199</v>
      </c>
      <c r="W23" s="25" t="s">
        <v>200</v>
      </c>
      <c r="X23" s="25" t="s">
        <v>190</v>
      </c>
    </row>
    <row r="24" spans="1:24" ht="24" customHeight="1" x14ac:dyDescent="0.25">
      <c r="A24" s="4" t="s">
        <v>201</v>
      </c>
      <c r="B24" s="5" t="s">
        <v>202</v>
      </c>
      <c r="C24" s="5" t="s">
        <v>127</v>
      </c>
      <c r="D24" s="4" t="s">
        <v>183</v>
      </c>
      <c r="E24" s="5" t="s">
        <v>203</v>
      </c>
      <c r="F24" s="4" t="s">
        <v>31</v>
      </c>
      <c r="G24" s="6" t="s">
        <v>185</v>
      </c>
      <c r="H24" s="4" t="s">
        <v>33</v>
      </c>
      <c r="I24" s="7" t="str">
        <f t="shared" si="0"/>
        <v>🟢 En Stock</v>
      </c>
      <c r="J24" s="8">
        <v>1</v>
      </c>
      <c r="K24" s="9">
        <v>1</v>
      </c>
      <c r="L24" s="5" t="s">
        <v>186</v>
      </c>
      <c r="M24" s="10">
        <v>20000</v>
      </c>
      <c r="N24" s="11">
        <v>0.33</v>
      </c>
      <c r="O24" s="12">
        <f t="shared" si="1"/>
        <v>30000</v>
      </c>
      <c r="P24" s="11">
        <v>0.16</v>
      </c>
      <c r="Q24" s="10">
        <f t="shared" si="2"/>
        <v>40000</v>
      </c>
      <c r="R24" s="13">
        <f t="shared" si="3"/>
        <v>30000</v>
      </c>
      <c r="S24" s="14">
        <f t="shared" si="4"/>
        <v>10000</v>
      </c>
      <c r="T24" s="11">
        <f t="shared" si="5"/>
        <v>0.33333333333333331</v>
      </c>
      <c r="U24" s="4" t="s">
        <v>187</v>
      </c>
      <c r="V24" s="5" t="s">
        <v>204</v>
      </c>
      <c r="W24" s="15" t="s">
        <v>205</v>
      </c>
      <c r="X24" s="15" t="s">
        <v>190</v>
      </c>
    </row>
    <row r="25" spans="1:24" ht="24" customHeight="1" x14ac:dyDescent="0.25">
      <c r="A25" s="16" t="s">
        <v>206</v>
      </c>
      <c r="B25" s="17" t="s">
        <v>207</v>
      </c>
      <c r="C25" s="17" t="s">
        <v>127</v>
      </c>
      <c r="D25" s="16" t="s">
        <v>208</v>
      </c>
      <c r="E25" s="17" t="s">
        <v>209</v>
      </c>
      <c r="F25" s="16" t="s">
        <v>150</v>
      </c>
      <c r="G25" s="18" t="s">
        <v>210</v>
      </c>
      <c r="H25" s="16" t="s">
        <v>33</v>
      </c>
      <c r="I25" s="19" t="str">
        <f t="shared" si="0"/>
        <v>🟢 En Stock</v>
      </c>
      <c r="J25" s="8">
        <v>1</v>
      </c>
      <c r="K25" s="20">
        <v>1</v>
      </c>
      <c r="L25" s="17" t="s">
        <v>211</v>
      </c>
      <c r="M25" s="21">
        <v>20000</v>
      </c>
      <c r="N25" s="22">
        <v>0.33</v>
      </c>
      <c r="O25" s="23">
        <f t="shared" si="1"/>
        <v>30000</v>
      </c>
      <c r="P25" s="22">
        <v>0.16</v>
      </c>
      <c r="Q25" s="21">
        <f t="shared" si="2"/>
        <v>40000</v>
      </c>
      <c r="R25" s="24">
        <f t="shared" si="3"/>
        <v>30000</v>
      </c>
      <c r="S25" s="14">
        <f t="shared" si="4"/>
        <v>10000</v>
      </c>
      <c r="T25" s="22">
        <f t="shared" si="5"/>
        <v>0.33333333333333331</v>
      </c>
      <c r="U25" s="16" t="s">
        <v>212</v>
      </c>
      <c r="V25" s="17" t="s">
        <v>213</v>
      </c>
      <c r="W25" s="25" t="s">
        <v>214</v>
      </c>
      <c r="X25" s="25" t="s">
        <v>215</v>
      </c>
    </row>
    <row r="26" spans="1:24" ht="24" customHeight="1" x14ac:dyDescent="0.25">
      <c r="A26" s="4" t="s">
        <v>216</v>
      </c>
      <c r="B26" s="5" t="s">
        <v>217</v>
      </c>
      <c r="C26" s="5" t="s">
        <v>127</v>
      </c>
      <c r="D26" s="4" t="s">
        <v>208</v>
      </c>
      <c r="E26" s="5" t="s">
        <v>218</v>
      </c>
      <c r="F26" s="4" t="s">
        <v>158</v>
      </c>
      <c r="G26" s="6" t="s">
        <v>219</v>
      </c>
      <c r="H26" s="4" t="s">
        <v>33</v>
      </c>
      <c r="I26" s="7" t="str">
        <f t="shared" si="0"/>
        <v>🟢 En Stock</v>
      </c>
      <c r="J26" s="8">
        <v>1</v>
      </c>
      <c r="K26" s="9">
        <v>1</v>
      </c>
      <c r="L26" s="5" t="s">
        <v>211</v>
      </c>
      <c r="M26" s="10">
        <v>20000</v>
      </c>
      <c r="N26" s="11">
        <v>0.33</v>
      </c>
      <c r="O26" s="12">
        <f t="shared" si="1"/>
        <v>30000</v>
      </c>
      <c r="P26" s="11">
        <v>0.16</v>
      </c>
      <c r="Q26" s="10">
        <f t="shared" si="2"/>
        <v>40000</v>
      </c>
      <c r="R26" s="13">
        <f t="shared" si="3"/>
        <v>30000</v>
      </c>
      <c r="S26" s="14">
        <f t="shared" si="4"/>
        <v>10000</v>
      </c>
      <c r="T26" s="11">
        <f t="shared" si="5"/>
        <v>0.33333333333333331</v>
      </c>
      <c r="U26" s="4" t="s">
        <v>212</v>
      </c>
      <c r="V26" s="5" t="s">
        <v>220</v>
      </c>
      <c r="W26" s="15" t="s">
        <v>221</v>
      </c>
      <c r="X26" s="15" t="s">
        <v>222</v>
      </c>
    </row>
    <row r="27" spans="1:24" ht="24" customHeight="1" x14ac:dyDescent="0.25">
      <c r="A27" s="16" t="s">
        <v>223</v>
      </c>
      <c r="B27" s="17" t="s">
        <v>224</v>
      </c>
      <c r="C27" s="17" t="s">
        <v>127</v>
      </c>
      <c r="D27" s="16" t="s">
        <v>208</v>
      </c>
      <c r="E27" s="17" t="s">
        <v>225</v>
      </c>
      <c r="F27" s="16" t="s">
        <v>31</v>
      </c>
      <c r="G27" s="18" t="s">
        <v>226</v>
      </c>
      <c r="H27" s="16" t="s">
        <v>33</v>
      </c>
      <c r="I27" s="19" t="str">
        <f t="shared" si="0"/>
        <v>🟢 En Stock</v>
      </c>
      <c r="J27" s="8">
        <v>1</v>
      </c>
      <c r="K27" s="20">
        <v>1</v>
      </c>
      <c r="L27" s="17" t="s">
        <v>211</v>
      </c>
      <c r="M27" s="21">
        <v>20000</v>
      </c>
      <c r="N27" s="22">
        <v>0.33</v>
      </c>
      <c r="O27" s="23">
        <f t="shared" si="1"/>
        <v>30000</v>
      </c>
      <c r="P27" s="22">
        <v>0.16</v>
      </c>
      <c r="Q27" s="21">
        <f t="shared" si="2"/>
        <v>40000</v>
      </c>
      <c r="R27" s="24">
        <f t="shared" si="3"/>
        <v>30000</v>
      </c>
      <c r="S27" s="14">
        <f t="shared" si="4"/>
        <v>10000</v>
      </c>
      <c r="T27" s="22">
        <f t="shared" si="5"/>
        <v>0.33333333333333331</v>
      </c>
      <c r="U27" s="16" t="s">
        <v>212</v>
      </c>
      <c r="V27" s="17" t="s">
        <v>227</v>
      </c>
      <c r="W27" s="25" t="s">
        <v>228</v>
      </c>
      <c r="X27" s="25" t="s">
        <v>229</v>
      </c>
    </row>
    <row r="28" spans="1:24" ht="24" customHeight="1" x14ac:dyDescent="0.25">
      <c r="A28" s="4" t="s">
        <v>230</v>
      </c>
      <c r="B28" s="5" t="s">
        <v>231</v>
      </c>
      <c r="C28" s="5" t="s">
        <v>127</v>
      </c>
      <c r="D28" s="4" t="s">
        <v>208</v>
      </c>
      <c r="E28" s="5" t="s">
        <v>232</v>
      </c>
      <c r="F28" s="4" t="s">
        <v>150</v>
      </c>
      <c r="G28" s="6" t="s">
        <v>233</v>
      </c>
      <c r="H28" s="4" t="s">
        <v>33</v>
      </c>
      <c r="I28" s="7" t="str">
        <f t="shared" si="0"/>
        <v>🟢 En Stock</v>
      </c>
      <c r="J28" s="8">
        <v>1</v>
      </c>
      <c r="K28" s="9">
        <v>1</v>
      </c>
      <c r="L28" s="5" t="s">
        <v>211</v>
      </c>
      <c r="M28" s="10">
        <v>20000</v>
      </c>
      <c r="N28" s="11">
        <v>0.33</v>
      </c>
      <c r="O28" s="12">
        <f t="shared" si="1"/>
        <v>30000</v>
      </c>
      <c r="P28" s="11">
        <v>0.16</v>
      </c>
      <c r="Q28" s="10">
        <f t="shared" si="2"/>
        <v>40000</v>
      </c>
      <c r="R28" s="13">
        <f t="shared" si="3"/>
        <v>30000</v>
      </c>
      <c r="S28" s="14">
        <f t="shared" si="4"/>
        <v>10000</v>
      </c>
      <c r="T28" s="11">
        <f t="shared" si="5"/>
        <v>0.33333333333333331</v>
      </c>
      <c r="U28" s="4" t="s">
        <v>212</v>
      </c>
      <c r="V28" s="5" t="s">
        <v>234</v>
      </c>
      <c r="W28" s="15" t="s">
        <v>235</v>
      </c>
      <c r="X28" s="15" t="s">
        <v>236</v>
      </c>
    </row>
    <row r="29" spans="1:24" ht="24" customHeight="1" x14ac:dyDescent="0.25">
      <c r="A29" s="16" t="s">
        <v>237</v>
      </c>
      <c r="B29" s="17" t="s">
        <v>238</v>
      </c>
      <c r="C29" s="17" t="s">
        <v>127</v>
      </c>
      <c r="D29" s="16" t="s">
        <v>208</v>
      </c>
      <c r="E29" s="17" t="s">
        <v>239</v>
      </c>
      <c r="F29" s="16" t="s">
        <v>158</v>
      </c>
      <c r="G29" s="18" t="s">
        <v>240</v>
      </c>
      <c r="H29" s="16" t="s">
        <v>33</v>
      </c>
      <c r="I29" s="19" t="str">
        <f t="shared" si="0"/>
        <v>🟢 En Stock</v>
      </c>
      <c r="J29" s="8">
        <v>1</v>
      </c>
      <c r="K29" s="20">
        <v>1</v>
      </c>
      <c r="L29" s="17" t="s">
        <v>211</v>
      </c>
      <c r="M29" s="21">
        <v>20000</v>
      </c>
      <c r="N29" s="22">
        <v>0.33</v>
      </c>
      <c r="O29" s="23">
        <f t="shared" si="1"/>
        <v>30000</v>
      </c>
      <c r="P29" s="22">
        <v>0.16</v>
      </c>
      <c r="Q29" s="21">
        <f t="shared" si="2"/>
        <v>40000</v>
      </c>
      <c r="R29" s="24">
        <f t="shared" si="3"/>
        <v>30000</v>
      </c>
      <c r="S29" s="14">
        <f t="shared" si="4"/>
        <v>10000</v>
      </c>
      <c r="T29" s="22">
        <f t="shared" si="5"/>
        <v>0.33333333333333331</v>
      </c>
      <c r="U29" s="16" t="s">
        <v>212</v>
      </c>
      <c r="V29" s="17" t="s">
        <v>241</v>
      </c>
      <c r="W29" s="25" t="s">
        <v>242</v>
      </c>
      <c r="X29" s="25" t="s">
        <v>236</v>
      </c>
    </row>
    <row r="30" spans="1:24" ht="24" customHeight="1" x14ac:dyDescent="0.25">
      <c r="A30" s="4" t="s">
        <v>243</v>
      </c>
      <c r="B30" s="5" t="s">
        <v>244</v>
      </c>
      <c r="C30" s="5" t="s">
        <v>127</v>
      </c>
      <c r="D30" s="4" t="s">
        <v>208</v>
      </c>
      <c r="E30" s="5" t="s">
        <v>245</v>
      </c>
      <c r="F30" s="4" t="s">
        <v>140</v>
      </c>
      <c r="G30" s="6" t="s">
        <v>246</v>
      </c>
      <c r="H30" s="4" t="s">
        <v>33</v>
      </c>
      <c r="I30" s="7" t="str">
        <f t="shared" si="0"/>
        <v>🟢 En Stock</v>
      </c>
      <c r="J30" s="8">
        <v>1</v>
      </c>
      <c r="K30" s="9">
        <v>1</v>
      </c>
      <c r="L30" s="5" t="s">
        <v>211</v>
      </c>
      <c r="M30" s="10">
        <v>20000</v>
      </c>
      <c r="N30" s="11">
        <v>0.33</v>
      </c>
      <c r="O30" s="12">
        <f t="shared" si="1"/>
        <v>30000</v>
      </c>
      <c r="P30" s="11">
        <v>0.16</v>
      </c>
      <c r="Q30" s="10">
        <f t="shared" si="2"/>
        <v>40000</v>
      </c>
      <c r="R30" s="13">
        <f t="shared" si="3"/>
        <v>30000</v>
      </c>
      <c r="S30" s="14">
        <f t="shared" si="4"/>
        <v>10000</v>
      </c>
      <c r="T30" s="11">
        <f t="shared" si="5"/>
        <v>0.33333333333333331</v>
      </c>
      <c r="U30" s="4" t="s">
        <v>212</v>
      </c>
      <c r="V30" s="5" t="s">
        <v>247</v>
      </c>
      <c r="W30" s="15" t="s">
        <v>248</v>
      </c>
      <c r="X30" s="15" t="s">
        <v>236</v>
      </c>
    </row>
    <row r="31" spans="1:24" ht="24" customHeight="1" x14ac:dyDescent="0.25">
      <c r="A31" s="16" t="s">
        <v>249</v>
      </c>
      <c r="B31" s="17" t="s">
        <v>250</v>
      </c>
      <c r="C31" s="17" t="s">
        <v>127</v>
      </c>
      <c r="D31" s="16" t="s">
        <v>208</v>
      </c>
      <c r="E31" s="17" t="s">
        <v>251</v>
      </c>
      <c r="F31" s="16" t="s">
        <v>31</v>
      </c>
      <c r="G31" s="18" t="s">
        <v>252</v>
      </c>
      <c r="H31" s="16" t="s">
        <v>33</v>
      </c>
      <c r="I31" s="19" t="str">
        <f t="shared" si="0"/>
        <v>🟢 En Stock</v>
      </c>
      <c r="J31" s="8">
        <v>1</v>
      </c>
      <c r="K31" s="20">
        <v>1</v>
      </c>
      <c r="L31" s="17" t="s">
        <v>211</v>
      </c>
      <c r="M31" s="21">
        <v>20000</v>
      </c>
      <c r="N31" s="22">
        <v>0.33</v>
      </c>
      <c r="O31" s="23">
        <f t="shared" si="1"/>
        <v>30000</v>
      </c>
      <c r="P31" s="22">
        <v>0.16</v>
      </c>
      <c r="Q31" s="21">
        <f t="shared" si="2"/>
        <v>40000</v>
      </c>
      <c r="R31" s="24">
        <f t="shared" si="3"/>
        <v>30000</v>
      </c>
      <c r="S31" s="14">
        <f t="shared" si="4"/>
        <v>10000</v>
      </c>
      <c r="T31" s="22">
        <f t="shared" si="5"/>
        <v>0.33333333333333331</v>
      </c>
      <c r="U31" s="16" t="s">
        <v>212</v>
      </c>
      <c r="V31" s="17" t="s">
        <v>253</v>
      </c>
      <c r="W31" s="25" t="s">
        <v>254</v>
      </c>
      <c r="X31" s="25" t="s">
        <v>236</v>
      </c>
    </row>
    <row r="32" spans="1:24" ht="24" customHeight="1" x14ac:dyDescent="0.25">
      <c r="A32" s="4" t="s">
        <v>255</v>
      </c>
      <c r="B32" s="5" t="s">
        <v>256</v>
      </c>
      <c r="C32" s="5" t="s">
        <v>127</v>
      </c>
      <c r="D32" s="4" t="s">
        <v>208</v>
      </c>
      <c r="E32" s="5" t="s">
        <v>257</v>
      </c>
      <c r="F32" s="4" t="s">
        <v>150</v>
      </c>
      <c r="G32" s="6" t="s">
        <v>258</v>
      </c>
      <c r="H32" s="4" t="s">
        <v>33</v>
      </c>
      <c r="I32" s="7" t="str">
        <f t="shared" si="0"/>
        <v>🟢 En Stock</v>
      </c>
      <c r="J32" s="8">
        <v>1</v>
      </c>
      <c r="K32" s="9">
        <v>1</v>
      </c>
      <c r="L32" s="5" t="s">
        <v>211</v>
      </c>
      <c r="M32" s="10">
        <v>20000</v>
      </c>
      <c r="N32" s="11">
        <v>0.33</v>
      </c>
      <c r="O32" s="12">
        <f t="shared" si="1"/>
        <v>30000</v>
      </c>
      <c r="P32" s="11">
        <v>0.16</v>
      </c>
      <c r="Q32" s="10">
        <f t="shared" si="2"/>
        <v>40000</v>
      </c>
      <c r="R32" s="13">
        <f t="shared" si="3"/>
        <v>30000</v>
      </c>
      <c r="S32" s="14">
        <f t="shared" si="4"/>
        <v>10000</v>
      </c>
      <c r="T32" s="11">
        <f t="shared" si="5"/>
        <v>0.33333333333333331</v>
      </c>
      <c r="U32" s="4" t="s">
        <v>212</v>
      </c>
      <c r="V32" s="5" t="s">
        <v>259</v>
      </c>
      <c r="W32" s="15" t="s">
        <v>260</v>
      </c>
      <c r="X32" s="15" t="s">
        <v>261</v>
      </c>
    </row>
    <row r="33" spans="1:24" ht="24" customHeight="1" x14ac:dyDescent="0.25">
      <c r="A33" s="16" t="s">
        <v>262</v>
      </c>
      <c r="B33" s="17" t="s">
        <v>263</v>
      </c>
      <c r="C33" s="17" t="s">
        <v>127</v>
      </c>
      <c r="D33" s="16" t="s">
        <v>208</v>
      </c>
      <c r="E33" s="17" t="s">
        <v>264</v>
      </c>
      <c r="F33" s="16" t="s">
        <v>158</v>
      </c>
      <c r="G33" s="18" t="s">
        <v>265</v>
      </c>
      <c r="H33" s="16" t="s">
        <v>33</v>
      </c>
      <c r="I33" s="19" t="str">
        <f t="shared" si="0"/>
        <v>🟢 En Stock</v>
      </c>
      <c r="J33" s="8">
        <v>1</v>
      </c>
      <c r="K33" s="20">
        <v>1</v>
      </c>
      <c r="L33" s="17" t="s">
        <v>211</v>
      </c>
      <c r="M33" s="21">
        <v>20000</v>
      </c>
      <c r="N33" s="22">
        <v>0.33</v>
      </c>
      <c r="O33" s="23">
        <f t="shared" si="1"/>
        <v>30000</v>
      </c>
      <c r="P33" s="22">
        <v>0.16</v>
      </c>
      <c r="Q33" s="21">
        <f t="shared" si="2"/>
        <v>40000</v>
      </c>
      <c r="R33" s="24">
        <f t="shared" si="3"/>
        <v>30000</v>
      </c>
      <c r="S33" s="14">
        <f t="shared" si="4"/>
        <v>10000</v>
      </c>
      <c r="T33" s="22">
        <f t="shared" si="5"/>
        <v>0.33333333333333331</v>
      </c>
      <c r="U33" s="16" t="s">
        <v>212</v>
      </c>
      <c r="V33" s="17" t="s">
        <v>266</v>
      </c>
      <c r="W33" s="25" t="s">
        <v>267</v>
      </c>
      <c r="X33" s="25" t="s">
        <v>261</v>
      </c>
    </row>
    <row r="34" spans="1:24" ht="24" customHeight="1" x14ac:dyDescent="0.25">
      <c r="A34" s="4" t="s">
        <v>268</v>
      </c>
      <c r="B34" s="5" t="s">
        <v>269</v>
      </c>
      <c r="C34" s="5" t="s">
        <v>127</v>
      </c>
      <c r="D34" s="4" t="s">
        <v>208</v>
      </c>
      <c r="E34" s="5" t="s">
        <v>270</v>
      </c>
      <c r="F34" s="4" t="s">
        <v>140</v>
      </c>
      <c r="G34" s="6" t="s">
        <v>265</v>
      </c>
      <c r="H34" s="4" t="s">
        <v>33</v>
      </c>
      <c r="I34" s="7" t="str">
        <f t="shared" si="0"/>
        <v>🟢 En Stock</v>
      </c>
      <c r="J34" s="8">
        <v>1</v>
      </c>
      <c r="K34" s="9">
        <v>1</v>
      </c>
      <c r="L34" s="5" t="s">
        <v>211</v>
      </c>
      <c r="M34" s="10">
        <v>20000</v>
      </c>
      <c r="N34" s="11">
        <v>0.33</v>
      </c>
      <c r="O34" s="12">
        <f t="shared" si="1"/>
        <v>30000</v>
      </c>
      <c r="P34" s="11">
        <v>0.16</v>
      </c>
      <c r="Q34" s="10">
        <f t="shared" si="2"/>
        <v>40000</v>
      </c>
      <c r="R34" s="13">
        <f t="shared" si="3"/>
        <v>30000</v>
      </c>
      <c r="S34" s="14">
        <f t="shared" si="4"/>
        <v>10000</v>
      </c>
      <c r="T34" s="11">
        <f t="shared" si="5"/>
        <v>0.33333333333333331</v>
      </c>
      <c r="U34" s="4" t="s">
        <v>212</v>
      </c>
      <c r="V34" s="5" t="s">
        <v>271</v>
      </c>
      <c r="W34" s="15" t="s">
        <v>272</v>
      </c>
      <c r="X34" s="15" t="s">
        <v>261</v>
      </c>
    </row>
    <row r="35" spans="1:24" ht="24" customHeight="1" x14ac:dyDescent="0.25">
      <c r="A35" s="16" t="s">
        <v>273</v>
      </c>
      <c r="B35" s="17" t="s">
        <v>274</v>
      </c>
      <c r="C35" s="17" t="s">
        <v>127</v>
      </c>
      <c r="D35" s="16" t="s">
        <v>208</v>
      </c>
      <c r="E35" s="17" t="s">
        <v>275</v>
      </c>
      <c r="F35" s="16" t="s">
        <v>31</v>
      </c>
      <c r="G35" s="18" t="s">
        <v>276</v>
      </c>
      <c r="H35" s="16" t="s">
        <v>33</v>
      </c>
      <c r="I35" s="19" t="str">
        <f t="shared" si="0"/>
        <v>🟢 En Stock</v>
      </c>
      <c r="J35" s="8">
        <v>1</v>
      </c>
      <c r="K35" s="20">
        <v>1</v>
      </c>
      <c r="L35" s="17" t="s">
        <v>211</v>
      </c>
      <c r="M35" s="21">
        <v>20000</v>
      </c>
      <c r="N35" s="22">
        <v>0.33</v>
      </c>
      <c r="O35" s="23">
        <f t="shared" si="1"/>
        <v>30000</v>
      </c>
      <c r="P35" s="22">
        <v>0.16</v>
      </c>
      <c r="Q35" s="21">
        <f t="shared" si="2"/>
        <v>40000</v>
      </c>
      <c r="R35" s="24">
        <f t="shared" si="3"/>
        <v>30000</v>
      </c>
      <c r="S35" s="14">
        <f t="shared" si="4"/>
        <v>10000</v>
      </c>
      <c r="T35" s="22">
        <f t="shared" si="5"/>
        <v>0.33333333333333331</v>
      </c>
      <c r="U35" s="16" t="s">
        <v>212</v>
      </c>
      <c r="V35" s="17" t="s">
        <v>277</v>
      </c>
      <c r="W35" s="25" t="s">
        <v>278</v>
      </c>
      <c r="X35" s="25" t="s">
        <v>261</v>
      </c>
    </row>
    <row r="36" spans="1:24" ht="24" customHeight="1" x14ac:dyDescent="0.25">
      <c r="A36" s="4" t="s">
        <v>279</v>
      </c>
      <c r="B36" s="5" t="s">
        <v>280</v>
      </c>
      <c r="C36" s="5" t="s">
        <v>281</v>
      </c>
      <c r="D36" s="4" t="s">
        <v>282</v>
      </c>
      <c r="E36" s="5" t="s">
        <v>283</v>
      </c>
      <c r="F36" s="4"/>
      <c r="G36" s="6" t="s">
        <v>284</v>
      </c>
      <c r="H36" s="4" t="s">
        <v>285</v>
      </c>
      <c r="I36" s="7" t="str">
        <f t="shared" ref="I36:I67" si="6">IF(J36&gt;0, "🟢 En Stock", "⚪ Agotado / Ref")</f>
        <v>⚪ Agotado / Ref</v>
      </c>
      <c r="J36" s="8">
        <v>0</v>
      </c>
      <c r="K36" s="9">
        <v>10</v>
      </c>
      <c r="L36" s="5" t="s">
        <v>286</v>
      </c>
      <c r="M36" s="10">
        <v>158550</v>
      </c>
      <c r="N36" s="11">
        <v>0.28000000000000003</v>
      </c>
      <c r="O36" s="12">
        <f t="shared" ref="O36:O67" si="7">IF(N36&lt;1, ROUNDUP(M36/(1-N36), -3), M36)</f>
        <v>221000</v>
      </c>
      <c r="P36" s="11">
        <v>0.16</v>
      </c>
      <c r="Q36" s="10">
        <f t="shared" ref="Q36:Q67" si="8">IF((1-N36-P36)&gt;0, ROUNDUP((M36+IF(O36&gt;=90000,20000,0))/(1-N36-P36), -3), O36)</f>
        <v>319000</v>
      </c>
      <c r="R36" s="13">
        <f t="shared" ref="R36:R59" si="9">O36</f>
        <v>221000</v>
      </c>
      <c r="S36" s="14">
        <f t="shared" ref="S36:S59" si="10">O36-M36</f>
        <v>62450</v>
      </c>
      <c r="T36" s="11">
        <f t="shared" ref="T36:T59" si="11">IF(O36&gt;0, (O36-M36)/O36, 0)</f>
        <v>0.28257918552036199</v>
      </c>
      <c r="U36" s="4" t="s">
        <v>92</v>
      </c>
      <c r="V36" s="5" t="s">
        <v>287</v>
      </c>
      <c r="W36" s="15" t="s">
        <v>288</v>
      </c>
      <c r="X36" s="15" t="s">
        <v>289</v>
      </c>
    </row>
    <row r="37" spans="1:24" ht="24" customHeight="1" x14ac:dyDescent="0.25">
      <c r="A37" s="16" t="s">
        <v>290</v>
      </c>
      <c r="B37" s="17" t="s">
        <v>291</v>
      </c>
      <c r="C37" s="17" t="s">
        <v>281</v>
      </c>
      <c r="D37" s="16" t="s">
        <v>282</v>
      </c>
      <c r="E37" s="17" t="s">
        <v>292</v>
      </c>
      <c r="F37" s="16"/>
      <c r="G37" s="18" t="s">
        <v>293</v>
      </c>
      <c r="H37" s="16" t="s">
        <v>285</v>
      </c>
      <c r="I37" s="19" t="str">
        <f t="shared" si="6"/>
        <v>⚪ Agotado / Ref</v>
      </c>
      <c r="J37" s="8">
        <v>0</v>
      </c>
      <c r="K37" s="20">
        <v>2</v>
      </c>
      <c r="L37" s="17" t="s">
        <v>294</v>
      </c>
      <c r="M37" s="21">
        <v>432546</v>
      </c>
      <c r="N37" s="22">
        <v>0.25</v>
      </c>
      <c r="O37" s="23">
        <f t="shared" si="7"/>
        <v>577000</v>
      </c>
      <c r="P37" s="22">
        <v>0.16</v>
      </c>
      <c r="Q37" s="21">
        <f t="shared" si="8"/>
        <v>768000</v>
      </c>
      <c r="R37" s="24">
        <f t="shared" si="9"/>
        <v>577000</v>
      </c>
      <c r="S37" s="14">
        <f t="shared" si="10"/>
        <v>144454</v>
      </c>
      <c r="T37" s="22">
        <f t="shared" si="11"/>
        <v>0.25035355285961874</v>
      </c>
      <c r="U37" s="16" t="s">
        <v>92</v>
      </c>
      <c r="V37" s="17" t="s">
        <v>287</v>
      </c>
      <c r="W37" s="25" t="s">
        <v>295</v>
      </c>
      <c r="X37" s="25" t="s">
        <v>296</v>
      </c>
    </row>
    <row r="38" spans="1:24" ht="24" customHeight="1" x14ac:dyDescent="0.25">
      <c r="A38" s="4" t="s">
        <v>297</v>
      </c>
      <c r="B38" s="5" t="s">
        <v>298</v>
      </c>
      <c r="C38" s="5" t="s">
        <v>299</v>
      </c>
      <c r="D38" s="4" t="s">
        <v>300</v>
      </c>
      <c r="E38" s="5" t="s">
        <v>301</v>
      </c>
      <c r="F38" s="4"/>
      <c r="G38" s="6" t="s">
        <v>302</v>
      </c>
      <c r="H38" s="4" t="s">
        <v>285</v>
      </c>
      <c r="I38" s="7" t="str">
        <f t="shared" si="6"/>
        <v>⚪ Agotado / Ref</v>
      </c>
      <c r="J38" s="8">
        <v>0</v>
      </c>
      <c r="K38" s="9">
        <v>1</v>
      </c>
      <c r="L38" s="5" t="s">
        <v>286</v>
      </c>
      <c r="M38" s="10">
        <v>163096</v>
      </c>
      <c r="N38" s="11">
        <v>0.3</v>
      </c>
      <c r="O38" s="12">
        <f t="shared" si="7"/>
        <v>233000</v>
      </c>
      <c r="P38" s="11">
        <v>0.16</v>
      </c>
      <c r="Q38" s="10">
        <f t="shared" si="8"/>
        <v>340000</v>
      </c>
      <c r="R38" s="13">
        <f t="shared" si="9"/>
        <v>233000</v>
      </c>
      <c r="S38" s="14">
        <f t="shared" si="10"/>
        <v>69904</v>
      </c>
      <c r="T38" s="11">
        <f t="shared" si="11"/>
        <v>0.30001716738197426</v>
      </c>
      <c r="U38" s="4" t="s">
        <v>303</v>
      </c>
      <c r="V38" s="5" t="s">
        <v>287</v>
      </c>
      <c r="W38" s="15" t="s">
        <v>304</v>
      </c>
      <c r="X38" s="15" t="s">
        <v>305</v>
      </c>
    </row>
    <row r="39" spans="1:24" ht="24" customHeight="1" x14ac:dyDescent="0.25">
      <c r="A39" s="16" t="s">
        <v>306</v>
      </c>
      <c r="B39" s="17" t="s">
        <v>307</v>
      </c>
      <c r="C39" s="17" t="s">
        <v>308</v>
      </c>
      <c r="D39" s="16" t="s">
        <v>309</v>
      </c>
      <c r="E39" s="17" t="s">
        <v>310</v>
      </c>
      <c r="F39" s="16"/>
      <c r="G39" s="18" t="s">
        <v>311</v>
      </c>
      <c r="H39" s="16" t="s">
        <v>285</v>
      </c>
      <c r="I39" s="19" t="str">
        <f t="shared" si="6"/>
        <v>⚪ Agotado / Ref</v>
      </c>
      <c r="J39" s="8">
        <v>0</v>
      </c>
      <c r="K39" s="20">
        <v>1</v>
      </c>
      <c r="L39" s="17" t="s">
        <v>312</v>
      </c>
      <c r="M39" s="21">
        <v>265738</v>
      </c>
      <c r="N39" s="22">
        <v>0.25</v>
      </c>
      <c r="O39" s="23">
        <f t="shared" si="7"/>
        <v>355000</v>
      </c>
      <c r="P39" s="22">
        <v>0.16</v>
      </c>
      <c r="Q39" s="21">
        <f t="shared" si="8"/>
        <v>485000</v>
      </c>
      <c r="R39" s="24">
        <f t="shared" si="9"/>
        <v>355000</v>
      </c>
      <c r="S39" s="14">
        <f t="shared" si="10"/>
        <v>89262</v>
      </c>
      <c r="T39" s="22">
        <f t="shared" si="11"/>
        <v>0.25144225352112676</v>
      </c>
      <c r="U39" s="16" t="s">
        <v>92</v>
      </c>
      <c r="V39" s="17" t="s">
        <v>287</v>
      </c>
      <c r="W39" s="25" t="s">
        <v>313</v>
      </c>
      <c r="X39" s="25" t="s">
        <v>314</v>
      </c>
    </row>
    <row r="40" spans="1:24" ht="24" customHeight="1" x14ac:dyDescent="0.25">
      <c r="A40" s="4" t="s">
        <v>315</v>
      </c>
      <c r="B40" s="5" t="s">
        <v>316</v>
      </c>
      <c r="C40" s="5" t="s">
        <v>308</v>
      </c>
      <c r="D40" s="4" t="s">
        <v>309</v>
      </c>
      <c r="E40" s="5" t="s">
        <v>317</v>
      </c>
      <c r="F40" s="4"/>
      <c r="G40" s="6" t="s">
        <v>318</v>
      </c>
      <c r="H40" s="4" t="s">
        <v>285</v>
      </c>
      <c r="I40" s="7" t="str">
        <f t="shared" si="6"/>
        <v>⚪ Agotado / Ref</v>
      </c>
      <c r="J40" s="8">
        <v>0</v>
      </c>
      <c r="K40" s="9">
        <v>1</v>
      </c>
      <c r="L40" s="5" t="s">
        <v>319</v>
      </c>
      <c r="M40" s="10">
        <v>327513</v>
      </c>
      <c r="N40" s="11">
        <v>0.25</v>
      </c>
      <c r="O40" s="12">
        <f t="shared" si="7"/>
        <v>437000</v>
      </c>
      <c r="P40" s="11">
        <v>0.16</v>
      </c>
      <c r="Q40" s="10">
        <f t="shared" si="8"/>
        <v>590000</v>
      </c>
      <c r="R40" s="13">
        <f t="shared" si="9"/>
        <v>437000</v>
      </c>
      <c r="S40" s="14">
        <f t="shared" si="10"/>
        <v>109487</v>
      </c>
      <c r="T40" s="11">
        <f t="shared" si="11"/>
        <v>0.25054233409610982</v>
      </c>
      <c r="U40" s="4" t="s">
        <v>92</v>
      </c>
      <c r="V40" s="5" t="s">
        <v>287</v>
      </c>
      <c r="W40" s="15" t="s">
        <v>320</v>
      </c>
      <c r="X40" s="15" t="s">
        <v>321</v>
      </c>
    </row>
    <row r="41" spans="1:24" ht="24" customHeight="1" x14ac:dyDescent="0.25">
      <c r="A41" s="16" t="s">
        <v>322</v>
      </c>
      <c r="B41" s="17" t="s">
        <v>323</v>
      </c>
      <c r="C41" s="17" t="s">
        <v>308</v>
      </c>
      <c r="D41" s="16" t="s">
        <v>309</v>
      </c>
      <c r="E41" s="17" t="s">
        <v>324</v>
      </c>
      <c r="F41" s="16"/>
      <c r="G41" s="18" t="s">
        <v>325</v>
      </c>
      <c r="H41" s="16" t="s">
        <v>285</v>
      </c>
      <c r="I41" s="19" t="str">
        <f t="shared" si="6"/>
        <v>⚪ Agotado / Ref</v>
      </c>
      <c r="J41" s="8">
        <v>0</v>
      </c>
      <c r="K41" s="20">
        <v>1</v>
      </c>
      <c r="L41" s="17" t="s">
        <v>319</v>
      </c>
      <c r="M41" s="21">
        <v>310243</v>
      </c>
      <c r="N41" s="22">
        <v>0.25</v>
      </c>
      <c r="O41" s="23">
        <f t="shared" si="7"/>
        <v>414000</v>
      </c>
      <c r="P41" s="22">
        <v>0.16</v>
      </c>
      <c r="Q41" s="21">
        <f t="shared" si="8"/>
        <v>560000</v>
      </c>
      <c r="R41" s="24">
        <f t="shared" si="9"/>
        <v>414000</v>
      </c>
      <c r="S41" s="14">
        <f t="shared" si="10"/>
        <v>103757</v>
      </c>
      <c r="T41" s="22">
        <f t="shared" si="11"/>
        <v>0.25062077294685992</v>
      </c>
      <c r="U41" s="16" t="s">
        <v>92</v>
      </c>
      <c r="V41" s="17" t="s">
        <v>287</v>
      </c>
      <c r="W41" s="25" t="s">
        <v>326</v>
      </c>
      <c r="X41" s="25" t="s">
        <v>327</v>
      </c>
    </row>
    <row r="42" spans="1:24" ht="24" customHeight="1" x14ac:dyDescent="0.25">
      <c r="A42" s="4" t="s">
        <v>328</v>
      </c>
      <c r="B42" s="5" t="s">
        <v>329</v>
      </c>
      <c r="C42" s="5" t="s">
        <v>330</v>
      </c>
      <c r="D42" s="4" t="s">
        <v>331</v>
      </c>
      <c r="E42" s="5" t="s">
        <v>332</v>
      </c>
      <c r="F42" s="4"/>
      <c r="G42" s="6" t="s">
        <v>333</v>
      </c>
      <c r="H42" s="4" t="s">
        <v>285</v>
      </c>
      <c r="I42" s="7" t="str">
        <f t="shared" si="6"/>
        <v>⚪ Agotado / Ref</v>
      </c>
      <c r="J42" s="8">
        <v>0</v>
      </c>
      <c r="K42" s="9">
        <v>1</v>
      </c>
      <c r="L42" s="5" t="s">
        <v>334</v>
      </c>
      <c r="M42" s="10">
        <v>2065526</v>
      </c>
      <c r="N42" s="11">
        <v>0.18</v>
      </c>
      <c r="O42" s="12">
        <f t="shared" si="7"/>
        <v>2519000</v>
      </c>
      <c r="P42" s="11">
        <v>0.15</v>
      </c>
      <c r="Q42" s="10">
        <f t="shared" si="8"/>
        <v>3113000</v>
      </c>
      <c r="R42" s="13">
        <f t="shared" si="9"/>
        <v>2519000</v>
      </c>
      <c r="S42" s="14">
        <f t="shared" si="10"/>
        <v>453474</v>
      </c>
      <c r="T42" s="11">
        <f t="shared" si="11"/>
        <v>0.18002143707820564</v>
      </c>
      <c r="U42" s="4" t="s">
        <v>335</v>
      </c>
      <c r="V42" s="5" t="s">
        <v>287</v>
      </c>
      <c r="W42" s="15" t="s">
        <v>336</v>
      </c>
      <c r="X42" s="15" t="s">
        <v>337</v>
      </c>
    </row>
    <row r="43" spans="1:24" ht="24" customHeight="1" x14ac:dyDescent="0.25">
      <c r="A43" s="16" t="s">
        <v>338</v>
      </c>
      <c r="B43" s="17" t="s">
        <v>339</v>
      </c>
      <c r="C43" s="17" t="s">
        <v>330</v>
      </c>
      <c r="D43" s="16" t="s">
        <v>331</v>
      </c>
      <c r="E43" s="17" t="s">
        <v>340</v>
      </c>
      <c r="F43" s="16"/>
      <c r="G43" s="18" t="s">
        <v>341</v>
      </c>
      <c r="H43" s="16" t="s">
        <v>285</v>
      </c>
      <c r="I43" s="19" t="str">
        <f t="shared" si="6"/>
        <v>⚪ Agotado / Ref</v>
      </c>
      <c r="J43" s="8">
        <v>0</v>
      </c>
      <c r="K43" s="20">
        <v>1</v>
      </c>
      <c r="L43" s="17" t="s">
        <v>334</v>
      </c>
      <c r="M43" s="21">
        <v>2648576</v>
      </c>
      <c r="N43" s="22">
        <v>0.16</v>
      </c>
      <c r="O43" s="23">
        <f t="shared" si="7"/>
        <v>3154000</v>
      </c>
      <c r="P43" s="22">
        <v>0.15</v>
      </c>
      <c r="Q43" s="21">
        <f t="shared" si="8"/>
        <v>3868000</v>
      </c>
      <c r="R43" s="24">
        <f t="shared" si="9"/>
        <v>3154000</v>
      </c>
      <c r="S43" s="14">
        <f t="shared" si="10"/>
        <v>505424</v>
      </c>
      <c r="T43" s="22">
        <f t="shared" si="11"/>
        <v>0.16024857324032973</v>
      </c>
      <c r="U43" s="16" t="s">
        <v>335</v>
      </c>
      <c r="V43" s="17" t="s">
        <v>287</v>
      </c>
      <c r="W43" s="25" t="s">
        <v>342</v>
      </c>
      <c r="X43" s="25" t="s">
        <v>343</v>
      </c>
    </row>
    <row r="44" spans="1:24" ht="24" customHeight="1" x14ac:dyDescent="0.25">
      <c r="A44" s="4" t="s">
        <v>344</v>
      </c>
      <c r="B44" s="5" t="s">
        <v>345</v>
      </c>
      <c r="C44" s="5" t="s">
        <v>330</v>
      </c>
      <c r="D44" s="4" t="s">
        <v>346</v>
      </c>
      <c r="E44" s="5" t="s">
        <v>347</v>
      </c>
      <c r="F44" s="4"/>
      <c r="G44" s="6" t="s">
        <v>348</v>
      </c>
      <c r="H44" s="4" t="s">
        <v>285</v>
      </c>
      <c r="I44" s="7" t="str">
        <f t="shared" si="6"/>
        <v>⚪ Agotado / Ref</v>
      </c>
      <c r="J44" s="8">
        <v>0</v>
      </c>
      <c r="K44" s="9">
        <v>2</v>
      </c>
      <c r="L44" s="5" t="s">
        <v>334</v>
      </c>
      <c r="M44" s="10">
        <v>2430833</v>
      </c>
      <c r="N44" s="11">
        <v>0.18</v>
      </c>
      <c r="O44" s="12">
        <f t="shared" si="7"/>
        <v>2965000</v>
      </c>
      <c r="P44" s="11">
        <v>0.15</v>
      </c>
      <c r="Q44" s="10">
        <f t="shared" si="8"/>
        <v>3658000</v>
      </c>
      <c r="R44" s="13">
        <f t="shared" si="9"/>
        <v>2965000</v>
      </c>
      <c r="S44" s="14">
        <f t="shared" si="10"/>
        <v>534167</v>
      </c>
      <c r="T44" s="11">
        <f t="shared" si="11"/>
        <v>0.18015750421585161</v>
      </c>
      <c r="U44" s="4" t="s">
        <v>349</v>
      </c>
      <c r="V44" s="5" t="s">
        <v>287</v>
      </c>
      <c r="W44" s="15" t="s">
        <v>350</v>
      </c>
      <c r="X44" s="15" t="s">
        <v>351</v>
      </c>
    </row>
    <row r="45" spans="1:24" ht="24" customHeight="1" x14ac:dyDescent="0.25">
      <c r="A45" s="16" t="s">
        <v>352</v>
      </c>
      <c r="B45" s="17" t="s">
        <v>353</v>
      </c>
      <c r="C45" s="17" t="s">
        <v>354</v>
      </c>
      <c r="D45" s="16" t="s">
        <v>355</v>
      </c>
      <c r="E45" s="17" t="s">
        <v>356</v>
      </c>
      <c r="F45" s="16"/>
      <c r="G45" s="18" t="s">
        <v>357</v>
      </c>
      <c r="H45" s="16" t="s">
        <v>285</v>
      </c>
      <c r="I45" s="19" t="str">
        <f t="shared" si="6"/>
        <v>⚪ Agotado / Ref</v>
      </c>
      <c r="J45" s="8">
        <v>0</v>
      </c>
      <c r="K45" s="20">
        <v>1</v>
      </c>
      <c r="L45" s="17" t="s">
        <v>358</v>
      </c>
      <c r="M45" s="21">
        <v>8967320</v>
      </c>
      <c r="N45" s="22">
        <v>0.15</v>
      </c>
      <c r="O45" s="23">
        <f t="shared" si="7"/>
        <v>10550000</v>
      </c>
      <c r="P45" s="22">
        <v>0.14000000000000001</v>
      </c>
      <c r="Q45" s="21">
        <f t="shared" si="8"/>
        <v>12659000</v>
      </c>
      <c r="R45" s="24">
        <f t="shared" si="9"/>
        <v>10550000</v>
      </c>
      <c r="S45" s="14">
        <f t="shared" si="10"/>
        <v>1582680</v>
      </c>
      <c r="T45" s="22">
        <f t="shared" si="11"/>
        <v>0.1500170616113744</v>
      </c>
      <c r="U45" s="16" t="s">
        <v>359</v>
      </c>
      <c r="V45" s="17" t="s">
        <v>287</v>
      </c>
      <c r="W45" s="25" t="s">
        <v>360</v>
      </c>
      <c r="X45" s="25" t="s">
        <v>361</v>
      </c>
    </row>
    <row r="46" spans="1:24" ht="24" customHeight="1" x14ac:dyDescent="0.25">
      <c r="A46" s="4" t="s">
        <v>362</v>
      </c>
      <c r="B46" s="5" t="s">
        <v>363</v>
      </c>
      <c r="C46" s="5" t="s">
        <v>63</v>
      </c>
      <c r="D46" s="4" t="s">
        <v>364</v>
      </c>
      <c r="E46" s="5" t="s">
        <v>365</v>
      </c>
      <c r="F46" s="4"/>
      <c r="G46" s="6" t="s">
        <v>366</v>
      </c>
      <c r="H46" s="4" t="s">
        <v>285</v>
      </c>
      <c r="I46" s="7" t="str">
        <f t="shared" si="6"/>
        <v>⚪ Agotado / Ref</v>
      </c>
      <c r="J46" s="8">
        <v>0</v>
      </c>
      <c r="K46" s="9">
        <v>1</v>
      </c>
      <c r="L46" s="5" t="s">
        <v>367</v>
      </c>
      <c r="M46" s="10">
        <v>142018</v>
      </c>
      <c r="N46" s="11">
        <v>0.32</v>
      </c>
      <c r="O46" s="12">
        <f t="shared" si="7"/>
        <v>209000</v>
      </c>
      <c r="P46" s="11">
        <v>0.16</v>
      </c>
      <c r="Q46" s="10">
        <f t="shared" si="8"/>
        <v>312000</v>
      </c>
      <c r="R46" s="13">
        <f t="shared" si="9"/>
        <v>209000</v>
      </c>
      <c r="S46" s="14">
        <f t="shared" si="10"/>
        <v>66982</v>
      </c>
      <c r="T46" s="11">
        <f t="shared" si="11"/>
        <v>0.32048803827751199</v>
      </c>
      <c r="U46" s="4" t="s">
        <v>368</v>
      </c>
      <c r="V46" s="5" t="s">
        <v>287</v>
      </c>
      <c r="W46" s="15" t="s">
        <v>369</v>
      </c>
      <c r="X46" s="15" t="s">
        <v>370</v>
      </c>
    </row>
    <row r="47" spans="1:24" ht="24" customHeight="1" x14ac:dyDescent="0.25">
      <c r="A47" s="16" t="s">
        <v>371</v>
      </c>
      <c r="B47" s="17" t="s">
        <v>372</v>
      </c>
      <c r="C47" s="17" t="s">
        <v>63</v>
      </c>
      <c r="D47" s="16" t="s">
        <v>364</v>
      </c>
      <c r="E47" s="17" t="s">
        <v>373</v>
      </c>
      <c r="F47" s="16"/>
      <c r="G47" s="18" t="s">
        <v>374</v>
      </c>
      <c r="H47" s="16" t="s">
        <v>285</v>
      </c>
      <c r="I47" s="19" t="str">
        <f t="shared" si="6"/>
        <v>⚪ Agotado / Ref</v>
      </c>
      <c r="J47" s="8">
        <v>0</v>
      </c>
      <c r="K47" s="20">
        <v>1</v>
      </c>
      <c r="L47" s="17" t="s">
        <v>56</v>
      </c>
      <c r="M47" s="21">
        <v>226100</v>
      </c>
      <c r="N47" s="22">
        <v>0.3</v>
      </c>
      <c r="O47" s="23">
        <f t="shared" si="7"/>
        <v>323000</v>
      </c>
      <c r="P47" s="22">
        <v>0.16</v>
      </c>
      <c r="Q47" s="21">
        <f t="shared" si="8"/>
        <v>456000</v>
      </c>
      <c r="R47" s="24">
        <f t="shared" si="9"/>
        <v>323000</v>
      </c>
      <c r="S47" s="14">
        <f t="shared" si="10"/>
        <v>96900</v>
      </c>
      <c r="T47" s="22">
        <f t="shared" si="11"/>
        <v>0.3</v>
      </c>
      <c r="U47" s="16" t="s">
        <v>375</v>
      </c>
      <c r="V47" s="17" t="s">
        <v>287</v>
      </c>
      <c r="W47" s="25" t="s">
        <v>376</v>
      </c>
      <c r="X47" s="25" t="s">
        <v>377</v>
      </c>
    </row>
    <row r="48" spans="1:24" ht="24" customHeight="1" x14ac:dyDescent="0.25">
      <c r="A48" s="4" t="s">
        <v>378</v>
      </c>
      <c r="B48" s="5" t="s">
        <v>379</v>
      </c>
      <c r="C48" s="5" t="s">
        <v>380</v>
      </c>
      <c r="D48" s="4" t="s">
        <v>364</v>
      </c>
      <c r="E48" s="5" t="s">
        <v>381</v>
      </c>
      <c r="F48" s="4"/>
      <c r="G48" s="6" t="s">
        <v>382</v>
      </c>
      <c r="H48" s="4" t="s">
        <v>285</v>
      </c>
      <c r="I48" s="7" t="str">
        <f t="shared" si="6"/>
        <v>🟢 En Stock</v>
      </c>
      <c r="J48" s="8">
        <v>1</v>
      </c>
      <c r="K48" s="9">
        <v>3</v>
      </c>
      <c r="L48" s="5" t="s">
        <v>383</v>
      </c>
      <c r="M48" s="10">
        <v>87500</v>
      </c>
      <c r="N48" s="11">
        <v>0.27</v>
      </c>
      <c r="O48" s="12">
        <f t="shared" si="7"/>
        <v>120000</v>
      </c>
      <c r="P48" s="11">
        <v>0.16</v>
      </c>
      <c r="Q48" s="10">
        <f t="shared" si="8"/>
        <v>189000</v>
      </c>
      <c r="R48" s="13">
        <f t="shared" si="9"/>
        <v>120000</v>
      </c>
      <c r="S48" s="14">
        <f t="shared" si="10"/>
        <v>32500</v>
      </c>
      <c r="T48" s="11">
        <f t="shared" si="11"/>
        <v>0.27083333333333331</v>
      </c>
      <c r="U48" s="4" t="s">
        <v>35</v>
      </c>
      <c r="V48" s="5" t="s">
        <v>287</v>
      </c>
      <c r="W48" s="15" t="s">
        <v>384</v>
      </c>
      <c r="X48" s="15" t="s">
        <v>385</v>
      </c>
    </row>
    <row r="49" spans="1:24" ht="24" customHeight="1" x14ac:dyDescent="0.25">
      <c r="A49" s="16" t="s">
        <v>386</v>
      </c>
      <c r="B49" s="17" t="s">
        <v>387</v>
      </c>
      <c r="C49" s="17" t="s">
        <v>380</v>
      </c>
      <c r="D49" s="16" t="s">
        <v>364</v>
      </c>
      <c r="E49" s="17" t="s">
        <v>388</v>
      </c>
      <c r="F49" s="16"/>
      <c r="G49" s="18" t="s">
        <v>389</v>
      </c>
      <c r="H49" s="16" t="s">
        <v>285</v>
      </c>
      <c r="I49" s="19" t="str">
        <f t="shared" si="6"/>
        <v>⚪ Agotado / Ref</v>
      </c>
      <c r="J49" s="8">
        <v>0</v>
      </c>
      <c r="K49" s="20">
        <v>3</v>
      </c>
      <c r="L49" s="17" t="s">
        <v>383</v>
      </c>
      <c r="M49" s="21">
        <v>30244</v>
      </c>
      <c r="N49" s="22">
        <v>0.4</v>
      </c>
      <c r="O49" s="23">
        <f t="shared" si="7"/>
        <v>51000</v>
      </c>
      <c r="P49" s="22">
        <v>0.17</v>
      </c>
      <c r="Q49" s="21">
        <f t="shared" si="8"/>
        <v>71000</v>
      </c>
      <c r="R49" s="24">
        <f t="shared" si="9"/>
        <v>51000</v>
      </c>
      <c r="S49" s="14">
        <f t="shared" si="10"/>
        <v>20756</v>
      </c>
      <c r="T49" s="22">
        <f t="shared" si="11"/>
        <v>0.40698039215686277</v>
      </c>
      <c r="U49" s="16" t="s">
        <v>92</v>
      </c>
      <c r="V49" s="17" t="s">
        <v>287</v>
      </c>
      <c r="W49" s="25" t="s">
        <v>390</v>
      </c>
      <c r="X49" s="25" t="s">
        <v>391</v>
      </c>
    </row>
    <row r="50" spans="1:24" ht="24" customHeight="1" x14ac:dyDescent="0.25">
      <c r="A50" s="4" t="s">
        <v>392</v>
      </c>
      <c r="B50" s="5" t="s">
        <v>393</v>
      </c>
      <c r="C50" s="5" t="s">
        <v>394</v>
      </c>
      <c r="D50" s="4" t="s">
        <v>309</v>
      </c>
      <c r="E50" s="5" t="s">
        <v>395</v>
      </c>
      <c r="F50" s="4"/>
      <c r="G50" s="6" t="s">
        <v>396</v>
      </c>
      <c r="H50" s="4" t="s">
        <v>285</v>
      </c>
      <c r="I50" s="7" t="str">
        <f t="shared" si="6"/>
        <v>⚪ Agotado / Ref</v>
      </c>
      <c r="J50" s="8">
        <v>0</v>
      </c>
      <c r="K50" s="9">
        <v>1</v>
      </c>
      <c r="L50" s="5" t="s">
        <v>397</v>
      </c>
      <c r="M50" s="10">
        <v>154591</v>
      </c>
      <c r="N50" s="11">
        <v>0.32</v>
      </c>
      <c r="O50" s="12">
        <f t="shared" si="7"/>
        <v>228000</v>
      </c>
      <c r="P50" s="11">
        <v>0.16</v>
      </c>
      <c r="Q50" s="10">
        <f t="shared" si="8"/>
        <v>336000</v>
      </c>
      <c r="R50" s="13">
        <f t="shared" si="9"/>
        <v>228000</v>
      </c>
      <c r="S50" s="14">
        <f t="shared" si="10"/>
        <v>73409</v>
      </c>
      <c r="T50" s="11">
        <f t="shared" si="11"/>
        <v>0.32196929824561404</v>
      </c>
      <c r="U50" s="4" t="s">
        <v>35</v>
      </c>
      <c r="V50" s="5" t="s">
        <v>287</v>
      </c>
      <c r="W50" s="15" t="s">
        <v>398</v>
      </c>
      <c r="X50" s="15" t="s">
        <v>399</v>
      </c>
    </row>
    <row r="51" spans="1:24" ht="24" customHeight="1" x14ac:dyDescent="0.25">
      <c r="A51" s="16" t="s">
        <v>400</v>
      </c>
      <c r="B51" s="17" t="s">
        <v>401</v>
      </c>
      <c r="C51" s="17" t="s">
        <v>402</v>
      </c>
      <c r="D51" s="16" t="s">
        <v>208</v>
      </c>
      <c r="E51" s="17" t="s">
        <v>403</v>
      </c>
      <c r="F51" s="16"/>
      <c r="G51" s="18" t="s">
        <v>404</v>
      </c>
      <c r="H51" s="16" t="s">
        <v>285</v>
      </c>
      <c r="I51" s="19" t="str">
        <f t="shared" si="6"/>
        <v>⚪ Agotado / Ref</v>
      </c>
      <c r="J51" s="8">
        <v>0</v>
      </c>
      <c r="K51" s="20">
        <v>2</v>
      </c>
      <c r="L51" s="17" t="s">
        <v>405</v>
      </c>
      <c r="M51" s="21">
        <v>1393124</v>
      </c>
      <c r="N51" s="22">
        <v>0.2</v>
      </c>
      <c r="O51" s="23">
        <f t="shared" si="7"/>
        <v>1742000</v>
      </c>
      <c r="P51" s="22">
        <v>0.15</v>
      </c>
      <c r="Q51" s="21">
        <f t="shared" si="8"/>
        <v>2175000</v>
      </c>
      <c r="R51" s="24">
        <f t="shared" si="9"/>
        <v>1742000</v>
      </c>
      <c r="S51" s="14">
        <f t="shared" si="10"/>
        <v>348876</v>
      </c>
      <c r="T51" s="22">
        <f t="shared" si="11"/>
        <v>0.20027324913892078</v>
      </c>
      <c r="U51" s="16" t="s">
        <v>406</v>
      </c>
      <c r="V51" s="17" t="s">
        <v>287</v>
      </c>
      <c r="W51" s="25" t="s">
        <v>407</v>
      </c>
      <c r="X51" s="25" t="s">
        <v>408</v>
      </c>
    </row>
    <row r="52" spans="1:24" ht="24" customHeight="1" x14ac:dyDescent="0.25">
      <c r="A52" s="4" t="s">
        <v>409</v>
      </c>
      <c r="B52" s="5" t="s">
        <v>410</v>
      </c>
      <c r="C52" s="5" t="s">
        <v>411</v>
      </c>
      <c r="D52" s="4" t="s">
        <v>208</v>
      </c>
      <c r="E52" s="5" t="s">
        <v>412</v>
      </c>
      <c r="F52" s="4"/>
      <c r="G52" s="6" t="s">
        <v>413</v>
      </c>
      <c r="H52" s="4" t="s">
        <v>285</v>
      </c>
      <c r="I52" s="7" t="str">
        <f t="shared" si="6"/>
        <v>⚪ Agotado / Ref</v>
      </c>
      <c r="J52" s="8">
        <v>0</v>
      </c>
      <c r="K52" s="9">
        <v>1</v>
      </c>
      <c r="L52" s="5" t="s">
        <v>405</v>
      </c>
      <c r="M52" s="10">
        <v>608875</v>
      </c>
      <c r="N52" s="11">
        <v>0.25</v>
      </c>
      <c r="O52" s="12">
        <f t="shared" si="7"/>
        <v>812000</v>
      </c>
      <c r="P52" s="11">
        <v>0.16</v>
      </c>
      <c r="Q52" s="10">
        <f t="shared" si="8"/>
        <v>1066000</v>
      </c>
      <c r="R52" s="13">
        <f t="shared" si="9"/>
        <v>812000</v>
      </c>
      <c r="S52" s="14">
        <f t="shared" si="10"/>
        <v>203125</v>
      </c>
      <c r="T52" s="11">
        <f t="shared" si="11"/>
        <v>0.25015394088669951</v>
      </c>
      <c r="U52" s="4" t="s">
        <v>92</v>
      </c>
      <c r="V52" s="5" t="s">
        <v>287</v>
      </c>
      <c r="W52" s="15" t="s">
        <v>414</v>
      </c>
      <c r="X52" s="15" t="s">
        <v>415</v>
      </c>
    </row>
    <row r="53" spans="1:24" ht="24" customHeight="1" x14ac:dyDescent="0.25">
      <c r="A53" s="16" t="s">
        <v>416</v>
      </c>
      <c r="B53" s="17" t="s">
        <v>417</v>
      </c>
      <c r="C53" s="17" t="s">
        <v>418</v>
      </c>
      <c r="D53" s="16" t="s">
        <v>419</v>
      </c>
      <c r="E53" s="17" t="s">
        <v>420</v>
      </c>
      <c r="F53" s="16"/>
      <c r="G53" s="18" t="s">
        <v>421</v>
      </c>
      <c r="H53" s="16" t="s">
        <v>285</v>
      </c>
      <c r="I53" s="19" t="str">
        <f t="shared" si="6"/>
        <v>⚪ Agotado / Ref</v>
      </c>
      <c r="J53" s="8">
        <v>0</v>
      </c>
      <c r="K53" s="20">
        <v>2</v>
      </c>
      <c r="L53" s="17" t="s">
        <v>56</v>
      </c>
      <c r="M53" s="21">
        <v>29036</v>
      </c>
      <c r="N53" s="22">
        <v>0.4</v>
      </c>
      <c r="O53" s="23">
        <f t="shared" si="7"/>
        <v>49000</v>
      </c>
      <c r="P53" s="22">
        <v>0.17</v>
      </c>
      <c r="Q53" s="21">
        <f t="shared" si="8"/>
        <v>68000</v>
      </c>
      <c r="R53" s="24">
        <f t="shared" si="9"/>
        <v>49000</v>
      </c>
      <c r="S53" s="14">
        <f t="shared" si="10"/>
        <v>19964</v>
      </c>
      <c r="T53" s="22">
        <f t="shared" si="11"/>
        <v>0.40742857142857142</v>
      </c>
      <c r="U53" s="16" t="s">
        <v>92</v>
      </c>
      <c r="V53" s="17" t="s">
        <v>287</v>
      </c>
      <c r="W53" s="25" t="s">
        <v>422</v>
      </c>
      <c r="X53" s="25" t="s">
        <v>423</v>
      </c>
    </row>
    <row r="54" spans="1:24" ht="24" customHeight="1" x14ac:dyDescent="0.25">
      <c r="A54" s="4" t="s">
        <v>424</v>
      </c>
      <c r="B54" s="5" t="s">
        <v>425</v>
      </c>
      <c r="C54" s="5" t="s">
        <v>418</v>
      </c>
      <c r="D54" s="4" t="s">
        <v>426</v>
      </c>
      <c r="E54" s="5" t="s">
        <v>427</v>
      </c>
      <c r="F54" s="4"/>
      <c r="G54" s="6" t="s">
        <v>428</v>
      </c>
      <c r="H54" s="4" t="s">
        <v>285</v>
      </c>
      <c r="I54" s="7" t="str">
        <f t="shared" si="6"/>
        <v>⚪ Agotado / Ref</v>
      </c>
      <c r="J54" s="8">
        <v>0</v>
      </c>
      <c r="K54" s="9">
        <v>3</v>
      </c>
      <c r="L54" s="5" t="s">
        <v>56</v>
      </c>
      <c r="M54" s="10">
        <v>57126</v>
      </c>
      <c r="N54" s="11">
        <v>0.38</v>
      </c>
      <c r="O54" s="12">
        <f t="shared" si="7"/>
        <v>93000</v>
      </c>
      <c r="P54" s="11">
        <v>0.16</v>
      </c>
      <c r="Q54" s="10">
        <f t="shared" si="8"/>
        <v>168000</v>
      </c>
      <c r="R54" s="13">
        <f t="shared" si="9"/>
        <v>93000</v>
      </c>
      <c r="S54" s="14">
        <f t="shared" si="10"/>
        <v>35874</v>
      </c>
      <c r="T54" s="11">
        <f t="shared" si="11"/>
        <v>0.38574193548387098</v>
      </c>
      <c r="U54" s="4" t="s">
        <v>429</v>
      </c>
      <c r="V54" s="5" t="s">
        <v>287</v>
      </c>
      <c r="W54" s="15" t="s">
        <v>430</v>
      </c>
      <c r="X54" s="15" t="s">
        <v>431</v>
      </c>
    </row>
    <row r="55" spans="1:24" ht="24" customHeight="1" x14ac:dyDescent="0.25">
      <c r="A55" s="16" t="s">
        <v>432</v>
      </c>
      <c r="B55" s="17" t="s">
        <v>433</v>
      </c>
      <c r="C55" s="17" t="s">
        <v>418</v>
      </c>
      <c r="D55" s="16" t="s">
        <v>434</v>
      </c>
      <c r="E55" s="17" t="s">
        <v>435</v>
      </c>
      <c r="F55" s="16"/>
      <c r="G55" s="18" t="s">
        <v>436</v>
      </c>
      <c r="H55" s="16" t="s">
        <v>285</v>
      </c>
      <c r="I55" s="19" t="str">
        <f t="shared" si="6"/>
        <v>⚪ Agotado / Ref</v>
      </c>
      <c r="J55" s="8">
        <v>0</v>
      </c>
      <c r="K55" s="20">
        <v>3</v>
      </c>
      <c r="L55" s="17" t="s">
        <v>56</v>
      </c>
      <c r="M55" s="21">
        <v>95422</v>
      </c>
      <c r="N55" s="22">
        <v>0.35</v>
      </c>
      <c r="O55" s="23">
        <f t="shared" si="7"/>
        <v>147000</v>
      </c>
      <c r="P55" s="22">
        <v>0.16</v>
      </c>
      <c r="Q55" s="21">
        <f t="shared" si="8"/>
        <v>236000</v>
      </c>
      <c r="R55" s="24">
        <f t="shared" si="9"/>
        <v>147000</v>
      </c>
      <c r="S55" s="14">
        <f t="shared" si="10"/>
        <v>51578</v>
      </c>
      <c r="T55" s="22">
        <f t="shared" si="11"/>
        <v>0.35087074829931975</v>
      </c>
      <c r="U55" s="16" t="s">
        <v>68</v>
      </c>
      <c r="V55" s="17" t="s">
        <v>287</v>
      </c>
      <c r="W55" s="25" t="s">
        <v>437</v>
      </c>
      <c r="X55" s="25" t="s">
        <v>87</v>
      </c>
    </row>
    <row r="56" spans="1:24" ht="24" customHeight="1" x14ac:dyDescent="0.25">
      <c r="A56" s="4" t="s">
        <v>438</v>
      </c>
      <c r="B56" s="5" t="s">
        <v>439</v>
      </c>
      <c r="C56" s="5" t="s">
        <v>98</v>
      </c>
      <c r="D56" s="4" t="s">
        <v>346</v>
      </c>
      <c r="E56" s="5" t="s">
        <v>440</v>
      </c>
      <c r="F56" s="4"/>
      <c r="G56" s="6" t="s">
        <v>441</v>
      </c>
      <c r="H56" s="4" t="s">
        <v>285</v>
      </c>
      <c r="I56" s="7" t="str">
        <f t="shared" si="6"/>
        <v>⚪ Agotado / Ref</v>
      </c>
      <c r="J56" s="8">
        <v>0</v>
      </c>
      <c r="K56" s="9">
        <v>1</v>
      </c>
      <c r="L56" s="5" t="s">
        <v>102</v>
      </c>
      <c r="M56" s="10">
        <v>72202</v>
      </c>
      <c r="N56" s="11">
        <v>0.38</v>
      </c>
      <c r="O56" s="12">
        <f t="shared" si="7"/>
        <v>117000</v>
      </c>
      <c r="P56" s="11">
        <v>0.16</v>
      </c>
      <c r="Q56" s="10">
        <f t="shared" si="8"/>
        <v>201000</v>
      </c>
      <c r="R56" s="13">
        <f t="shared" si="9"/>
        <v>117000</v>
      </c>
      <c r="S56" s="14">
        <f t="shared" si="10"/>
        <v>44798</v>
      </c>
      <c r="T56" s="11">
        <f t="shared" si="11"/>
        <v>0.38288888888888889</v>
      </c>
      <c r="U56" s="4" t="s">
        <v>349</v>
      </c>
      <c r="V56" s="5" t="s">
        <v>287</v>
      </c>
      <c r="W56" s="15" t="s">
        <v>442</v>
      </c>
      <c r="X56" s="15" t="s">
        <v>443</v>
      </c>
    </row>
    <row r="57" spans="1:24" ht="24" customHeight="1" x14ac:dyDescent="0.25">
      <c r="A57" s="16" t="s">
        <v>444</v>
      </c>
      <c r="B57" s="17" t="s">
        <v>445</v>
      </c>
      <c r="C57" s="17" t="s">
        <v>446</v>
      </c>
      <c r="D57" s="16" t="s">
        <v>447</v>
      </c>
      <c r="E57" s="17" t="s">
        <v>448</v>
      </c>
      <c r="F57" s="16"/>
      <c r="G57" s="18" t="s">
        <v>449</v>
      </c>
      <c r="H57" s="16" t="s">
        <v>285</v>
      </c>
      <c r="I57" s="19" t="str">
        <f t="shared" si="6"/>
        <v>⚪ Agotado / Ref</v>
      </c>
      <c r="J57" s="8">
        <v>0</v>
      </c>
      <c r="K57" s="20">
        <v>1</v>
      </c>
      <c r="L57" s="17" t="s">
        <v>450</v>
      </c>
      <c r="M57" s="21">
        <v>253530</v>
      </c>
      <c r="N57" s="22">
        <v>0.22</v>
      </c>
      <c r="O57" s="23">
        <f t="shared" si="7"/>
        <v>326000</v>
      </c>
      <c r="P57" s="22">
        <v>0.15</v>
      </c>
      <c r="Q57" s="21">
        <f t="shared" si="8"/>
        <v>435000</v>
      </c>
      <c r="R57" s="24">
        <f t="shared" si="9"/>
        <v>326000</v>
      </c>
      <c r="S57" s="14">
        <f t="shared" si="10"/>
        <v>72470</v>
      </c>
      <c r="T57" s="22">
        <f t="shared" si="11"/>
        <v>0.2223006134969325</v>
      </c>
      <c r="U57" s="16" t="s">
        <v>451</v>
      </c>
      <c r="V57" s="17" t="s">
        <v>287</v>
      </c>
      <c r="W57" s="25" t="s">
        <v>452</v>
      </c>
      <c r="X57" s="25" t="s">
        <v>453</v>
      </c>
    </row>
    <row r="58" spans="1:24" ht="24" customHeight="1" x14ac:dyDescent="0.25">
      <c r="A58" s="4" t="s">
        <v>454</v>
      </c>
      <c r="B58" s="5" t="s">
        <v>455</v>
      </c>
      <c r="C58" s="5" t="s">
        <v>402</v>
      </c>
      <c r="D58" s="4" t="s">
        <v>183</v>
      </c>
      <c r="E58" s="5" t="s">
        <v>456</v>
      </c>
      <c r="F58" s="4"/>
      <c r="G58" s="6" t="s">
        <v>457</v>
      </c>
      <c r="H58" s="4" t="s">
        <v>285</v>
      </c>
      <c r="I58" s="7" t="str">
        <f t="shared" si="6"/>
        <v>⚪ Agotado / Ref</v>
      </c>
      <c r="J58" s="8">
        <v>0</v>
      </c>
      <c r="K58" s="9">
        <v>1</v>
      </c>
      <c r="L58" s="5" t="s">
        <v>405</v>
      </c>
      <c r="M58" s="10">
        <v>780250</v>
      </c>
      <c r="N58" s="11">
        <v>0.25</v>
      </c>
      <c r="O58" s="12">
        <f t="shared" si="7"/>
        <v>1041000</v>
      </c>
      <c r="P58" s="11">
        <v>0.16</v>
      </c>
      <c r="Q58" s="10">
        <f t="shared" si="8"/>
        <v>1357000</v>
      </c>
      <c r="R58" s="13">
        <f t="shared" si="9"/>
        <v>1041000</v>
      </c>
      <c r="S58" s="14">
        <f t="shared" si="10"/>
        <v>260750</v>
      </c>
      <c r="T58" s="11">
        <f t="shared" si="11"/>
        <v>0.25048030739673394</v>
      </c>
      <c r="U58" s="4" t="s">
        <v>458</v>
      </c>
      <c r="V58" s="5" t="s">
        <v>287</v>
      </c>
      <c r="W58" s="15" t="s">
        <v>459</v>
      </c>
      <c r="X58" s="15" t="s">
        <v>460</v>
      </c>
    </row>
    <row r="59" spans="1:24" ht="24" customHeight="1" x14ac:dyDescent="0.25">
      <c r="A59" s="16" t="s">
        <v>461</v>
      </c>
      <c r="B59" s="17" t="s">
        <v>462</v>
      </c>
      <c r="C59" s="17" t="s">
        <v>52</v>
      </c>
      <c r="D59" s="16" t="s">
        <v>53</v>
      </c>
      <c r="E59" s="17" t="s">
        <v>463</v>
      </c>
      <c r="F59" s="16"/>
      <c r="G59" s="18" t="s">
        <v>464</v>
      </c>
      <c r="H59" s="16" t="s">
        <v>285</v>
      </c>
      <c r="I59" s="19" t="str">
        <f t="shared" si="6"/>
        <v>⚪ Agotado / Ref</v>
      </c>
      <c r="J59" s="8">
        <v>0</v>
      </c>
      <c r="K59" s="20">
        <v>1</v>
      </c>
      <c r="L59" s="17" t="s">
        <v>56</v>
      </c>
      <c r="M59" s="21">
        <v>39705</v>
      </c>
      <c r="N59" s="22">
        <v>0.4</v>
      </c>
      <c r="O59" s="23">
        <f t="shared" si="7"/>
        <v>67000</v>
      </c>
      <c r="P59" s="22">
        <v>0.17</v>
      </c>
      <c r="Q59" s="21">
        <f t="shared" si="8"/>
        <v>93000</v>
      </c>
      <c r="R59" s="24">
        <f t="shared" si="9"/>
        <v>67000</v>
      </c>
      <c r="S59" s="14">
        <f t="shared" si="10"/>
        <v>27295</v>
      </c>
      <c r="T59" s="22">
        <f t="shared" si="11"/>
        <v>0.40738805970149256</v>
      </c>
      <c r="U59" s="16" t="s">
        <v>57</v>
      </c>
      <c r="V59" s="17" t="s">
        <v>287</v>
      </c>
      <c r="W59" s="25" t="s">
        <v>465</v>
      </c>
      <c r="X59" s="25" t="s">
        <v>466</v>
      </c>
    </row>
    <row r="60" spans="1:24" ht="26.1" customHeight="1" x14ac:dyDescent="0.25">
      <c r="A60" s="40" t="s">
        <v>467</v>
      </c>
      <c r="B60" s="41"/>
      <c r="C60" s="41"/>
      <c r="D60" s="41"/>
      <c r="E60" s="41"/>
      <c r="F60" s="41"/>
      <c r="G60" s="41"/>
      <c r="H60" s="41"/>
      <c r="I60" s="41"/>
      <c r="J60" s="26">
        <f>SUM(J4:J59)</f>
        <v>36</v>
      </c>
      <c r="K60" s="26">
        <f>SUM(K4:K59)</f>
        <v>87</v>
      </c>
      <c r="L60" s="27"/>
      <c r="M60" s="28">
        <f>SUMPRODUCT(M4:M59, J4:J59)</f>
        <v>1887269</v>
      </c>
      <c r="N60" s="27"/>
      <c r="O60" s="28">
        <f>SUMPRODUCT(O4:O59, J4:J59)</f>
        <v>2919000</v>
      </c>
      <c r="P60" s="27"/>
      <c r="Q60" s="27"/>
      <c r="R60" s="27"/>
      <c r="S60" s="29">
        <f>SUMPRODUCT(S4:S59, J4:J59)</f>
        <v>1031731</v>
      </c>
      <c r="T60" s="27"/>
      <c r="U60" s="27"/>
      <c r="V60" s="27"/>
      <c r="W60" s="27"/>
      <c r="X60" s="27"/>
    </row>
  </sheetData>
  <mergeCells count="3">
    <mergeCell ref="A60:I60"/>
    <mergeCell ref="A2:X2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7"/>
  <sheetViews>
    <sheetView workbookViewId="0"/>
  </sheetViews>
  <sheetFormatPr baseColWidth="10" defaultColWidth="9.140625" defaultRowHeight="15" x14ac:dyDescent="0.25"/>
  <cols>
    <col min="1" max="1" width="30" customWidth="1"/>
    <col min="2" max="2" width="14" customWidth="1"/>
    <col min="3" max="4" width="16" customWidth="1"/>
    <col min="5" max="7" width="20" customWidth="1"/>
  </cols>
  <sheetData>
    <row r="1" spans="1:7" ht="36" customHeight="1" x14ac:dyDescent="0.25">
      <c r="A1" s="43" t="s">
        <v>468</v>
      </c>
      <c r="B1" s="41"/>
      <c r="C1" s="41"/>
      <c r="D1" s="41"/>
      <c r="E1" s="41"/>
      <c r="F1" s="41"/>
      <c r="G1" s="41"/>
    </row>
    <row r="3" spans="1:7" x14ac:dyDescent="0.25">
      <c r="B3" s="44" t="s">
        <v>469</v>
      </c>
      <c r="C3" s="41"/>
      <c r="D3" s="44" t="s">
        <v>470</v>
      </c>
      <c r="E3" s="41"/>
      <c r="F3" s="44" t="s">
        <v>471</v>
      </c>
      <c r="G3" s="41"/>
    </row>
    <row r="4" spans="1:7" ht="20.25" x14ac:dyDescent="0.25">
      <c r="B4" s="48">
        <f>'📦 Inventario Maestro'!M60</f>
        <v>1887269</v>
      </c>
      <c r="C4" s="41"/>
      <c r="D4" s="46">
        <f>'📦 Inventario Maestro'!O60</f>
        <v>2919000</v>
      </c>
      <c r="E4" s="41"/>
      <c r="F4" s="45">
        <f>'📦 Inventario Maestro'!S60</f>
        <v>1031731</v>
      </c>
      <c r="G4" s="41"/>
    </row>
    <row r="7" spans="1:7" ht="24.95" customHeight="1" x14ac:dyDescent="0.3">
      <c r="A7" s="47" t="s">
        <v>472</v>
      </c>
      <c r="B7" s="41"/>
      <c r="C7" s="41"/>
      <c r="D7" s="41"/>
      <c r="E7" s="41"/>
      <c r="F7" s="41"/>
      <c r="G7" s="41"/>
    </row>
    <row r="8" spans="1:7" ht="26.1" customHeight="1" x14ac:dyDescent="0.25">
      <c r="A8" s="30" t="s">
        <v>4</v>
      </c>
      <c r="B8" s="30" t="s">
        <v>473</v>
      </c>
      <c r="C8" s="30" t="s">
        <v>474</v>
      </c>
      <c r="D8" s="30" t="s">
        <v>12</v>
      </c>
      <c r="E8" s="30" t="s">
        <v>475</v>
      </c>
      <c r="F8" s="30" t="s">
        <v>476</v>
      </c>
      <c r="G8" s="30" t="s">
        <v>477</v>
      </c>
    </row>
    <row r="9" spans="1:7" ht="21.95" customHeight="1" x14ac:dyDescent="0.25">
      <c r="A9" s="5" t="s">
        <v>117</v>
      </c>
      <c r="B9" s="9">
        <f>COUNTIF('📦 Inventario Maestro'!$C$4:$C$59, A9)</f>
        <v>1</v>
      </c>
      <c r="C9" s="9">
        <f>SUMIF('📦 Inventario Maestro'!$C$4:$C$59, A9, '📦 Inventario Maestro'!$J$4:$J$59)</f>
        <v>1</v>
      </c>
      <c r="D9" s="9">
        <f>SUMIF('📦 Inventario Maestro'!$C$4:$C$59, A9, '📦 Inventario Maestro'!$K$4:$K$59)</f>
        <v>1</v>
      </c>
      <c r="E9" s="13">
        <f>SUMPRODUCT(('📦 Inventario Maestro'!$C$4:$C$59=A9)*('📦 Inventario Maestro'!$M$4:$M$59)*('📦 Inventario Maestro'!$J$4:$J$59))</f>
        <v>10000</v>
      </c>
      <c r="F9" s="13">
        <f>SUMPRODUCT(('📦 Inventario Maestro'!$C$4:$C$59=A9)*('📦 Inventario Maestro'!$O$4:$O$59)*('📦 Inventario Maestro'!$J$4:$J$59))</f>
        <v>25000</v>
      </c>
      <c r="G9" s="31">
        <f t="shared" ref="G9:G26" si="0">F9-E9</f>
        <v>15000</v>
      </c>
    </row>
    <row r="10" spans="1:7" ht="21.95" customHeight="1" x14ac:dyDescent="0.25">
      <c r="A10" s="17" t="s">
        <v>418</v>
      </c>
      <c r="B10" s="20">
        <f>COUNTIF('📦 Inventario Maestro'!$C$4:$C$59, A10)</f>
        <v>3</v>
      </c>
      <c r="C10" s="20">
        <f>SUMIF('📦 Inventario Maestro'!$C$4:$C$59, A10, '📦 Inventario Maestro'!$J$4:$J$59)</f>
        <v>0</v>
      </c>
      <c r="D10" s="20">
        <f>SUMIF('📦 Inventario Maestro'!$C$4:$C$59, A10, '📦 Inventario Maestro'!$K$4:$K$59)</f>
        <v>8</v>
      </c>
      <c r="E10" s="24">
        <f>SUMPRODUCT(('📦 Inventario Maestro'!$C$4:$C$59=A10)*('📦 Inventario Maestro'!$M$4:$M$59)*('📦 Inventario Maestro'!$J$4:$J$59))</f>
        <v>0</v>
      </c>
      <c r="F10" s="24">
        <f>SUMPRODUCT(('📦 Inventario Maestro'!$C$4:$C$59=A10)*('📦 Inventario Maestro'!$O$4:$O$59)*('📦 Inventario Maestro'!$J$4:$J$59))</f>
        <v>0</v>
      </c>
      <c r="G10" s="32">
        <f t="shared" si="0"/>
        <v>0</v>
      </c>
    </row>
    <row r="11" spans="1:7" ht="21.95" customHeight="1" x14ac:dyDescent="0.25">
      <c r="A11" s="5" t="s">
        <v>98</v>
      </c>
      <c r="B11" s="9">
        <f>COUNTIF('📦 Inventario Maestro'!$C$4:$C$59, A11)</f>
        <v>2</v>
      </c>
      <c r="C11" s="9">
        <f>SUMIF('📦 Inventario Maestro'!$C$4:$C$59, A11, '📦 Inventario Maestro'!$J$4:$J$59)</f>
        <v>1</v>
      </c>
      <c r="D11" s="9">
        <f>SUMIF('📦 Inventario Maestro'!$C$4:$C$59, A11, '📦 Inventario Maestro'!$K$4:$K$59)</f>
        <v>2</v>
      </c>
      <c r="E11" s="13">
        <f>SUMPRODUCT(('📦 Inventario Maestro'!$C$4:$C$59=A11)*('📦 Inventario Maestro'!$M$4:$M$59)*('📦 Inventario Maestro'!$J$4:$J$59))</f>
        <v>45000</v>
      </c>
      <c r="F11" s="13">
        <f>SUMPRODUCT(('📦 Inventario Maestro'!$C$4:$C$59=A11)*('📦 Inventario Maestro'!$O$4:$O$59)*('📦 Inventario Maestro'!$J$4:$J$59))</f>
        <v>75000</v>
      </c>
      <c r="G11" s="31">
        <f t="shared" si="0"/>
        <v>30000</v>
      </c>
    </row>
    <row r="12" spans="1:7" ht="21.95" customHeight="1" x14ac:dyDescent="0.25">
      <c r="A12" s="17" t="s">
        <v>28</v>
      </c>
      <c r="B12" s="20">
        <f>COUNTIF('📦 Inventario Maestro'!$C$4:$C$59, A12)</f>
        <v>1</v>
      </c>
      <c r="C12" s="20">
        <f>SUMIF('📦 Inventario Maestro'!$C$4:$C$59, A12, '📦 Inventario Maestro'!$J$4:$J$59)</f>
        <v>1</v>
      </c>
      <c r="D12" s="20">
        <f>SUMIF('📦 Inventario Maestro'!$C$4:$C$59, A12, '📦 Inventario Maestro'!$K$4:$K$59)</f>
        <v>1</v>
      </c>
      <c r="E12" s="24">
        <f>SUMPRODUCT(('📦 Inventario Maestro'!$C$4:$C$59=A12)*('📦 Inventario Maestro'!$M$4:$M$59)*('📦 Inventario Maestro'!$J$4:$J$59))</f>
        <v>580115</v>
      </c>
      <c r="F12" s="24">
        <f>SUMPRODUCT(('📦 Inventario Maestro'!$C$4:$C$59=A12)*('📦 Inventario Maestro'!$O$4:$O$59)*('📦 Inventario Maestro'!$J$4:$J$59))</f>
        <v>829000</v>
      </c>
      <c r="G12" s="32">
        <f t="shared" si="0"/>
        <v>248885</v>
      </c>
    </row>
    <row r="13" spans="1:7" ht="21.95" customHeight="1" x14ac:dyDescent="0.25">
      <c r="A13" s="5" t="s">
        <v>299</v>
      </c>
      <c r="B13" s="9">
        <f>COUNTIF('📦 Inventario Maestro'!$C$4:$C$59, A13)</f>
        <v>1</v>
      </c>
      <c r="C13" s="9">
        <f>SUMIF('📦 Inventario Maestro'!$C$4:$C$59, A13, '📦 Inventario Maestro'!$J$4:$J$59)</f>
        <v>0</v>
      </c>
      <c r="D13" s="9">
        <f>SUMIF('📦 Inventario Maestro'!$C$4:$C$59, A13, '📦 Inventario Maestro'!$K$4:$K$59)</f>
        <v>1</v>
      </c>
      <c r="E13" s="13">
        <f>SUMPRODUCT(('📦 Inventario Maestro'!$C$4:$C$59=A13)*('📦 Inventario Maestro'!$M$4:$M$59)*('📦 Inventario Maestro'!$J$4:$J$59))</f>
        <v>0</v>
      </c>
      <c r="F13" s="13">
        <f>SUMPRODUCT(('📦 Inventario Maestro'!$C$4:$C$59=A13)*('📦 Inventario Maestro'!$O$4:$O$59)*('📦 Inventario Maestro'!$J$4:$J$59))</f>
        <v>0</v>
      </c>
      <c r="G13" s="31">
        <f t="shared" si="0"/>
        <v>0</v>
      </c>
    </row>
    <row r="14" spans="1:7" ht="21.95" customHeight="1" x14ac:dyDescent="0.25">
      <c r="A14" s="17" t="s">
        <v>281</v>
      </c>
      <c r="B14" s="20">
        <f>COUNTIF('📦 Inventario Maestro'!$C$4:$C$59, A14)</f>
        <v>2</v>
      </c>
      <c r="C14" s="20">
        <f>SUMIF('📦 Inventario Maestro'!$C$4:$C$59, A14, '📦 Inventario Maestro'!$J$4:$J$59)</f>
        <v>0</v>
      </c>
      <c r="D14" s="20">
        <f>SUMIF('📦 Inventario Maestro'!$C$4:$C$59, A14, '📦 Inventario Maestro'!$K$4:$K$59)</f>
        <v>12</v>
      </c>
      <c r="E14" s="24">
        <f>SUMPRODUCT(('📦 Inventario Maestro'!$C$4:$C$59=A14)*('📦 Inventario Maestro'!$M$4:$M$59)*('📦 Inventario Maestro'!$J$4:$J$59))</f>
        <v>0</v>
      </c>
      <c r="F14" s="24">
        <f>SUMPRODUCT(('📦 Inventario Maestro'!$C$4:$C$59=A14)*('📦 Inventario Maestro'!$O$4:$O$59)*('📦 Inventario Maestro'!$J$4:$J$59))</f>
        <v>0</v>
      </c>
      <c r="G14" s="32">
        <f t="shared" si="0"/>
        <v>0</v>
      </c>
    </row>
    <row r="15" spans="1:7" ht="21.95" customHeight="1" x14ac:dyDescent="0.25">
      <c r="A15" s="5" t="s">
        <v>354</v>
      </c>
      <c r="B15" s="9">
        <f>COUNTIF('📦 Inventario Maestro'!$C$4:$C$59, A15)</f>
        <v>1</v>
      </c>
      <c r="C15" s="9">
        <f>SUMIF('📦 Inventario Maestro'!$C$4:$C$59, A15, '📦 Inventario Maestro'!$J$4:$J$59)</f>
        <v>0</v>
      </c>
      <c r="D15" s="9">
        <f>SUMIF('📦 Inventario Maestro'!$C$4:$C$59, A15, '📦 Inventario Maestro'!$K$4:$K$59)</f>
        <v>1</v>
      </c>
      <c r="E15" s="13">
        <f>SUMPRODUCT(('📦 Inventario Maestro'!$C$4:$C$59=A15)*('📦 Inventario Maestro'!$M$4:$M$59)*('📦 Inventario Maestro'!$J$4:$J$59))</f>
        <v>0</v>
      </c>
      <c r="F15" s="13">
        <f>SUMPRODUCT(('📦 Inventario Maestro'!$C$4:$C$59=A15)*('📦 Inventario Maestro'!$O$4:$O$59)*('📦 Inventario Maestro'!$J$4:$J$59))</f>
        <v>0</v>
      </c>
      <c r="G15" s="31">
        <f t="shared" si="0"/>
        <v>0</v>
      </c>
    </row>
    <row r="16" spans="1:7" ht="21.95" customHeight="1" x14ac:dyDescent="0.25">
      <c r="A16" s="17" t="s">
        <v>411</v>
      </c>
      <c r="B16" s="20">
        <f>COUNTIF('📦 Inventario Maestro'!$C$4:$C$59, A16)</f>
        <v>1</v>
      </c>
      <c r="C16" s="20">
        <f>SUMIF('📦 Inventario Maestro'!$C$4:$C$59, A16, '📦 Inventario Maestro'!$J$4:$J$59)</f>
        <v>0</v>
      </c>
      <c r="D16" s="20">
        <f>SUMIF('📦 Inventario Maestro'!$C$4:$C$59, A16, '📦 Inventario Maestro'!$K$4:$K$59)</f>
        <v>1</v>
      </c>
      <c r="E16" s="24">
        <f>SUMPRODUCT(('📦 Inventario Maestro'!$C$4:$C$59=A16)*('📦 Inventario Maestro'!$M$4:$M$59)*('📦 Inventario Maestro'!$J$4:$J$59))</f>
        <v>0</v>
      </c>
      <c r="F16" s="24">
        <f>SUMPRODUCT(('📦 Inventario Maestro'!$C$4:$C$59=A16)*('📦 Inventario Maestro'!$O$4:$O$59)*('📦 Inventario Maestro'!$J$4:$J$59))</f>
        <v>0</v>
      </c>
      <c r="G16" s="32">
        <f t="shared" si="0"/>
        <v>0</v>
      </c>
    </row>
    <row r="17" spans="1:7" ht="21.95" customHeight="1" x14ac:dyDescent="0.25">
      <c r="A17" s="5" t="s">
        <v>402</v>
      </c>
      <c r="B17" s="9">
        <f>COUNTIF('📦 Inventario Maestro'!$C$4:$C$59, A17)</f>
        <v>2</v>
      </c>
      <c r="C17" s="9">
        <f>SUMIF('📦 Inventario Maestro'!$C$4:$C$59, A17, '📦 Inventario Maestro'!$J$4:$J$59)</f>
        <v>0</v>
      </c>
      <c r="D17" s="9">
        <f>SUMIF('📦 Inventario Maestro'!$C$4:$C$59, A17, '📦 Inventario Maestro'!$K$4:$K$59)</f>
        <v>3</v>
      </c>
      <c r="E17" s="13">
        <f>SUMPRODUCT(('📦 Inventario Maestro'!$C$4:$C$59=A17)*('📦 Inventario Maestro'!$M$4:$M$59)*('📦 Inventario Maestro'!$J$4:$J$59))</f>
        <v>0</v>
      </c>
      <c r="F17" s="13">
        <f>SUMPRODUCT(('📦 Inventario Maestro'!$C$4:$C$59=A17)*('📦 Inventario Maestro'!$O$4:$O$59)*('📦 Inventario Maestro'!$J$4:$J$59))</f>
        <v>0</v>
      </c>
      <c r="G17" s="31">
        <f t="shared" si="0"/>
        <v>0</v>
      </c>
    </row>
    <row r="18" spans="1:7" ht="21.95" customHeight="1" x14ac:dyDescent="0.25">
      <c r="A18" s="17" t="s">
        <v>308</v>
      </c>
      <c r="B18" s="20">
        <f>COUNTIF('📦 Inventario Maestro'!$C$4:$C$59, A18)</f>
        <v>3</v>
      </c>
      <c r="C18" s="20">
        <f>SUMIF('📦 Inventario Maestro'!$C$4:$C$59, A18, '📦 Inventario Maestro'!$J$4:$J$59)</f>
        <v>0</v>
      </c>
      <c r="D18" s="20">
        <f>SUMIF('📦 Inventario Maestro'!$C$4:$C$59, A18, '📦 Inventario Maestro'!$K$4:$K$59)</f>
        <v>3</v>
      </c>
      <c r="E18" s="24">
        <f>SUMPRODUCT(('📦 Inventario Maestro'!$C$4:$C$59=A18)*('📦 Inventario Maestro'!$M$4:$M$59)*('📦 Inventario Maestro'!$J$4:$J$59))</f>
        <v>0</v>
      </c>
      <c r="F18" s="24">
        <f>SUMPRODUCT(('📦 Inventario Maestro'!$C$4:$C$59=A18)*('📦 Inventario Maestro'!$O$4:$O$59)*('📦 Inventario Maestro'!$J$4:$J$59))</f>
        <v>0</v>
      </c>
      <c r="G18" s="32">
        <f t="shared" si="0"/>
        <v>0</v>
      </c>
    </row>
    <row r="19" spans="1:7" ht="21.95" customHeight="1" x14ac:dyDescent="0.25">
      <c r="A19" s="5" t="s">
        <v>52</v>
      </c>
      <c r="B19" s="9">
        <f>COUNTIF('📦 Inventario Maestro'!$C$4:$C$59, A19)</f>
        <v>6</v>
      </c>
      <c r="C19" s="9">
        <f>SUMIF('📦 Inventario Maestro'!$C$4:$C$59, A19, '📦 Inventario Maestro'!$J$4:$J$59)</f>
        <v>5</v>
      </c>
      <c r="D19" s="9">
        <f>SUMIF('📦 Inventario Maestro'!$C$4:$C$59, A19, '📦 Inventario Maestro'!$K$4:$K$59)</f>
        <v>12</v>
      </c>
      <c r="E19" s="13">
        <f>SUMPRODUCT(('📦 Inventario Maestro'!$C$4:$C$59=A19)*('📦 Inventario Maestro'!$M$4:$M$59)*('📦 Inventario Maestro'!$J$4:$J$59))</f>
        <v>180189</v>
      </c>
      <c r="F19" s="13">
        <f>SUMPRODUCT(('📦 Inventario Maestro'!$C$4:$C$59=A19)*('📦 Inventario Maestro'!$O$4:$O$59)*('📦 Inventario Maestro'!$J$4:$J$59))</f>
        <v>293000</v>
      </c>
      <c r="G19" s="31">
        <f t="shared" si="0"/>
        <v>112811</v>
      </c>
    </row>
    <row r="20" spans="1:7" ht="21.95" customHeight="1" x14ac:dyDescent="0.25">
      <c r="A20" s="17" t="s">
        <v>330</v>
      </c>
      <c r="B20" s="20">
        <f>COUNTIF('📦 Inventario Maestro'!$C$4:$C$59, A20)</f>
        <v>3</v>
      </c>
      <c r="C20" s="20">
        <f>SUMIF('📦 Inventario Maestro'!$C$4:$C$59, A20, '📦 Inventario Maestro'!$J$4:$J$59)</f>
        <v>0</v>
      </c>
      <c r="D20" s="20">
        <f>SUMIF('📦 Inventario Maestro'!$C$4:$C$59, A20, '📦 Inventario Maestro'!$K$4:$K$59)</f>
        <v>4</v>
      </c>
      <c r="E20" s="24">
        <f>SUMPRODUCT(('📦 Inventario Maestro'!$C$4:$C$59=A20)*('📦 Inventario Maestro'!$M$4:$M$59)*('📦 Inventario Maestro'!$J$4:$J$59))</f>
        <v>0</v>
      </c>
      <c r="F20" s="24">
        <f>SUMPRODUCT(('📦 Inventario Maestro'!$C$4:$C$59=A20)*('📦 Inventario Maestro'!$O$4:$O$59)*('📦 Inventario Maestro'!$J$4:$J$59))</f>
        <v>0</v>
      </c>
      <c r="G20" s="32">
        <f t="shared" si="0"/>
        <v>0</v>
      </c>
    </row>
    <row r="21" spans="1:7" ht="21.95" customHeight="1" x14ac:dyDescent="0.25">
      <c r="A21" s="5" t="s">
        <v>41</v>
      </c>
      <c r="B21" s="9">
        <f>COUNTIF('📦 Inventario Maestro'!$C$4:$C$59, A21)</f>
        <v>1</v>
      </c>
      <c r="C21" s="9">
        <f>SUMIF('📦 Inventario Maestro'!$C$4:$C$59, A21, '📦 Inventario Maestro'!$J$4:$J$59)</f>
        <v>3</v>
      </c>
      <c r="D21" s="9">
        <f>SUMIF('📦 Inventario Maestro'!$C$4:$C$59, A21, '📦 Inventario Maestro'!$K$4:$K$59)</f>
        <v>3</v>
      </c>
      <c r="E21" s="13">
        <f>SUMPRODUCT(('📦 Inventario Maestro'!$C$4:$C$59=A21)*('📦 Inventario Maestro'!$M$4:$M$59)*('📦 Inventario Maestro'!$J$4:$J$59))</f>
        <v>393879</v>
      </c>
      <c r="F21" s="13">
        <f>SUMPRODUCT(('📦 Inventario Maestro'!$C$4:$C$59=A21)*('📦 Inventario Maestro'!$O$4:$O$59)*('📦 Inventario Maestro'!$J$4:$J$59))</f>
        <v>657000</v>
      </c>
      <c r="G21" s="31">
        <f t="shared" si="0"/>
        <v>263121</v>
      </c>
    </row>
    <row r="22" spans="1:7" ht="21.95" customHeight="1" x14ac:dyDescent="0.25">
      <c r="A22" s="17" t="s">
        <v>380</v>
      </c>
      <c r="B22" s="20">
        <f>COUNTIF('📦 Inventario Maestro'!$C$4:$C$59, A22)</f>
        <v>2</v>
      </c>
      <c r="C22" s="20">
        <f>SUMIF('📦 Inventario Maestro'!$C$4:$C$59, A22, '📦 Inventario Maestro'!$J$4:$J$59)</f>
        <v>1</v>
      </c>
      <c r="D22" s="20">
        <f>SUMIF('📦 Inventario Maestro'!$C$4:$C$59, A22, '📦 Inventario Maestro'!$K$4:$K$59)</f>
        <v>6</v>
      </c>
      <c r="E22" s="24">
        <f>SUMPRODUCT(('📦 Inventario Maestro'!$C$4:$C$59=A22)*('📦 Inventario Maestro'!$M$4:$M$59)*('📦 Inventario Maestro'!$J$4:$J$59))</f>
        <v>87500</v>
      </c>
      <c r="F22" s="24">
        <f>SUMPRODUCT(('📦 Inventario Maestro'!$C$4:$C$59=A22)*('📦 Inventario Maestro'!$O$4:$O$59)*('📦 Inventario Maestro'!$J$4:$J$59))</f>
        <v>120000</v>
      </c>
      <c r="G22" s="32">
        <f t="shared" si="0"/>
        <v>32500</v>
      </c>
    </row>
    <row r="23" spans="1:7" ht="21.95" customHeight="1" x14ac:dyDescent="0.25">
      <c r="A23" s="5" t="s">
        <v>63</v>
      </c>
      <c r="B23" s="9">
        <f>COUNTIF('📦 Inventario Maestro'!$C$4:$C$59, A23)</f>
        <v>3</v>
      </c>
      <c r="C23" s="9">
        <f>SUMIF('📦 Inventario Maestro'!$C$4:$C$59, A23, '📦 Inventario Maestro'!$J$4:$J$59)</f>
        <v>1</v>
      </c>
      <c r="D23" s="9">
        <f>SUMIF('📦 Inventario Maestro'!$C$4:$C$59, A23, '📦 Inventario Maestro'!$K$4:$K$59)</f>
        <v>4</v>
      </c>
      <c r="E23" s="13">
        <f>SUMPRODUCT(('📦 Inventario Maestro'!$C$4:$C$59=A23)*('📦 Inventario Maestro'!$M$4:$M$59)*('📦 Inventario Maestro'!$J$4:$J$59))</f>
        <v>90586</v>
      </c>
      <c r="F23" s="13">
        <f>SUMPRODUCT(('📦 Inventario Maestro'!$C$4:$C$59=A23)*('📦 Inventario Maestro'!$O$4:$O$59)*('📦 Inventario Maestro'!$J$4:$J$59))</f>
        <v>140000</v>
      </c>
      <c r="G23" s="31">
        <f t="shared" si="0"/>
        <v>49414</v>
      </c>
    </row>
    <row r="24" spans="1:7" ht="21.95" customHeight="1" x14ac:dyDescent="0.25">
      <c r="A24" s="17" t="s">
        <v>394</v>
      </c>
      <c r="B24" s="20">
        <f>COUNTIF('📦 Inventario Maestro'!$C$4:$C$59, A24)</f>
        <v>1</v>
      </c>
      <c r="C24" s="20">
        <f>SUMIF('📦 Inventario Maestro'!$C$4:$C$59, A24, '📦 Inventario Maestro'!$J$4:$J$59)</f>
        <v>0</v>
      </c>
      <c r="D24" s="20">
        <f>SUMIF('📦 Inventario Maestro'!$C$4:$C$59, A24, '📦 Inventario Maestro'!$K$4:$K$59)</f>
        <v>1</v>
      </c>
      <c r="E24" s="24">
        <f>SUMPRODUCT(('📦 Inventario Maestro'!$C$4:$C$59=A24)*('📦 Inventario Maestro'!$M$4:$M$59)*('📦 Inventario Maestro'!$J$4:$J$59))</f>
        <v>0</v>
      </c>
      <c r="F24" s="24">
        <f>SUMPRODUCT(('📦 Inventario Maestro'!$C$4:$C$59=A24)*('📦 Inventario Maestro'!$O$4:$O$59)*('📦 Inventario Maestro'!$J$4:$J$59))</f>
        <v>0</v>
      </c>
      <c r="G24" s="32">
        <f t="shared" si="0"/>
        <v>0</v>
      </c>
    </row>
    <row r="25" spans="1:7" ht="21.95" customHeight="1" x14ac:dyDescent="0.25">
      <c r="A25" s="5" t="s">
        <v>446</v>
      </c>
      <c r="B25" s="9">
        <f>COUNTIF('📦 Inventario Maestro'!$C$4:$C$59, A25)</f>
        <v>1</v>
      </c>
      <c r="C25" s="9">
        <f>SUMIF('📦 Inventario Maestro'!$C$4:$C$59, A25, '📦 Inventario Maestro'!$J$4:$J$59)</f>
        <v>0</v>
      </c>
      <c r="D25" s="9">
        <f>SUMIF('📦 Inventario Maestro'!$C$4:$C$59, A25, '📦 Inventario Maestro'!$K$4:$K$59)</f>
        <v>1</v>
      </c>
      <c r="E25" s="13">
        <f>SUMPRODUCT(('📦 Inventario Maestro'!$C$4:$C$59=A25)*('📦 Inventario Maestro'!$M$4:$M$59)*('📦 Inventario Maestro'!$J$4:$J$59))</f>
        <v>0</v>
      </c>
      <c r="F25" s="13">
        <f>SUMPRODUCT(('📦 Inventario Maestro'!$C$4:$C$59=A25)*('📦 Inventario Maestro'!$O$4:$O$59)*('📦 Inventario Maestro'!$J$4:$J$59))</f>
        <v>0</v>
      </c>
      <c r="G25" s="31">
        <f t="shared" si="0"/>
        <v>0</v>
      </c>
    </row>
    <row r="26" spans="1:7" ht="21.95" customHeight="1" x14ac:dyDescent="0.25">
      <c r="A26" s="17" t="s">
        <v>127</v>
      </c>
      <c r="B26" s="20">
        <f>COUNTIF('📦 Inventario Maestro'!$C$4:$C$59, A26)</f>
        <v>22</v>
      </c>
      <c r="C26" s="20">
        <f>SUMIF('📦 Inventario Maestro'!$C$4:$C$59, A26, '📦 Inventario Maestro'!$J$4:$J$59)</f>
        <v>23</v>
      </c>
      <c r="D26" s="20">
        <f>SUMIF('📦 Inventario Maestro'!$C$4:$C$59, A26, '📦 Inventario Maestro'!$K$4:$K$59)</f>
        <v>23</v>
      </c>
      <c r="E26" s="24">
        <f>SUMPRODUCT(('📦 Inventario Maestro'!$C$4:$C$59=A26)*('📦 Inventario Maestro'!$M$4:$M$59)*('📦 Inventario Maestro'!$J$4:$J$59))</f>
        <v>500000</v>
      </c>
      <c r="F26" s="24">
        <f>SUMPRODUCT(('📦 Inventario Maestro'!$C$4:$C$59=A26)*('📦 Inventario Maestro'!$O$4:$O$59)*('📦 Inventario Maestro'!$J$4:$J$59))</f>
        <v>780000</v>
      </c>
      <c r="G26" s="32">
        <f t="shared" si="0"/>
        <v>280000</v>
      </c>
    </row>
    <row r="27" spans="1:7" ht="24" customHeight="1" x14ac:dyDescent="0.25">
      <c r="A27" s="33" t="s">
        <v>478</v>
      </c>
      <c r="B27" s="26">
        <f t="shared" ref="B27:G27" si="1">SUM(B9:B26)</f>
        <v>56</v>
      </c>
      <c r="C27" s="26">
        <f t="shared" si="1"/>
        <v>36</v>
      </c>
      <c r="D27" s="26">
        <f t="shared" si="1"/>
        <v>87</v>
      </c>
      <c r="E27" s="34">
        <f t="shared" si="1"/>
        <v>1887269</v>
      </c>
      <c r="F27" s="34">
        <f t="shared" si="1"/>
        <v>2919000</v>
      </c>
      <c r="G27" s="34">
        <f t="shared" si="1"/>
        <v>1031731</v>
      </c>
    </row>
  </sheetData>
  <mergeCells count="8">
    <mergeCell ref="A7:G7"/>
    <mergeCell ref="D3:E3"/>
    <mergeCell ref="B4:C4"/>
    <mergeCell ref="F3:G3"/>
    <mergeCell ref="F4:G4"/>
    <mergeCell ref="A1:G1"/>
    <mergeCell ref="B3:C3"/>
    <mergeCell ref="D4:E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"/>
  <sheetViews>
    <sheetView workbookViewId="0"/>
  </sheetViews>
  <sheetFormatPr baseColWidth="10" defaultColWidth="9.140625" defaultRowHeight="15" x14ac:dyDescent="0.25"/>
  <cols>
    <col min="1" max="1" width="14" customWidth="1"/>
    <col min="2" max="2" width="32" customWidth="1"/>
    <col min="3" max="5" width="20" customWidth="1"/>
    <col min="6" max="6" width="30" customWidth="1"/>
    <col min="7" max="7" width="28" customWidth="1"/>
    <col min="8" max="9" width="18" customWidth="1"/>
    <col min="10" max="10" width="16" customWidth="1"/>
    <col min="11" max="11" width="14" customWidth="1"/>
    <col min="12" max="12" width="20" customWidth="1"/>
    <col min="13" max="13" width="30" customWidth="1"/>
  </cols>
  <sheetData>
    <row r="1" spans="1:13" ht="36" customHeight="1" x14ac:dyDescent="0.25">
      <c r="A1" s="50" t="s">
        <v>479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</row>
    <row r="2" spans="1:13" ht="21.95" customHeight="1" x14ac:dyDescent="0.25">
      <c r="A2" s="49" t="s">
        <v>480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</row>
    <row r="4" spans="1:13" ht="26.1" customHeight="1" x14ac:dyDescent="0.25">
      <c r="A4" s="35" t="s">
        <v>481</v>
      </c>
      <c r="B4" s="35" t="s">
        <v>482</v>
      </c>
      <c r="C4" s="35" t="s">
        <v>483</v>
      </c>
      <c r="D4" s="35" t="s">
        <v>484</v>
      </c>
      <c r="E4" s="35" t="s">
        <v>485</v>
      </c>
      <c r="F4" s="35" t="s">
        <v>486</v>
      </c>
      <c r="G4" s="35" t="s">
        <v>487</v>
      </c>
      <c r="H4" s="35" t="s">
        <v>488</v>
      </c>
      <c r="I4" s="35" t="s">
        <v>489</v>
      </c>
      <c r="J4" s="35" t="s">
        <v>490</v>
      </c>
      <c r="K4" s="35" t="s">
        <v>491</v>
      </c>
      <c r="L4" s="35" t="s">
        <v>492</v>
      </c>
      <c r="M4" s="35" t="s">
        <v>493</v>
      </c>
    </row>
    <row r="5" spans="1:13" ht="24" customHeight="1" x14ac:dyDescent="0.25">
      <c r="A5" s="4" t="s">
        <v>494</v>
      </c>
      <c r="B5" s="5" t="s">
        <v>495</v>
      </c>
      <c r="C5" s="5" t="s">
        <v>496</v>
      </c>
      <c r="D5" s="4" t="s">
        <v>497</v>
      </c>
      <c r="E5" s="4" t="s">
        <v>498</v>
      </c>
      <c r="F5" s="15" t="s">
        <v>499</v>
      </c>
      <c r="G5" s="15" t="s">
        <v>500</v>
      </c>
      <c r="H5" s="13">
        <v>20000</v>
      </c>
      <c r="I5" s="13">
        <v>850000</v>
      </c>
      <c r="J5" s="31">
        <f>I5-H5</f>
        <v>830000</v>
      </c>
      <c r="K5" s="4" t="s">
        <v>501</v>
      </c>
      <c r="L5" s="5" t="s">
        <v>502</v>
      </c>
      <c r="M5" s="15" t="s">
        <v>503</v>
      </c>
    </row>
    <row r="6" spans="1:13" ht="24" customHeight="1" x14ac:dyDescent="0.25">
      <c r="A6" s="16" t="s">
        <v>504</v>
      </c>
      <c r="B6" s="17" t="s">
        <v>505</v>
      </c>
      <c r="C6" s="17" t="s">
        <v>506</v>
      </c>
      <c r="D6" s="16" t="s">
        <v>507</v>
      </c>
      <c r="E6" s="16" t="s">
        <v>498</v>
      </c>
      <c r="F6" s="25" t="s">
        <v>508</v>
      </c>
      <c r="G6" s="25" t="s">
        <v>509</v>
      </c>
      <c r="H6" s="24">
        <v>5000</v>
      </c>
      <c r="I6" s="24">
        <v>180000</v>
      </c>
      <c r="J6" s="32">
        <f>I6-H6</f>
        <v>175000</v>
      </c>
      <c r="K6" s="16" t="s">
        <v>501</v>
      </c>
      <c r="L6" s="17" t="s">
        <v>510</v>
      </c>
      <c r="M6" s="25" t="s">
        <v>511</v>
      </c>
    </row>
    <row r="7" spans="1:13" ht="24" customHeight="1" x14ac:dyDescent="0.25">
      <c r="A7" s="4" t="s">
        <v>512</v>
      </c>
      <c r="B7" s="5" t="s">
        <v>513</v>
      </c>
      <c r="C7" s="5" t="s">
        <v>514</v>
      </c>
      <c r="D7" s="4" t="s">
        <v>515</v>
      </c>
      <c r="E7" s="4" t="s">
        <v>516</v>
      </c>
      <c r="F7" s="15" t="s">
        <v>517</v>
      </c>
      <c r="G7" s="15" t="s">
        <v>518</v>
      </c>
      <c r="H7" s="13">
        <v>150000</v>
      </c>
      <c r="I7" s="13">
        <v>650000</v>
      </c>
      <c r="J7" s="31">
        <f>I7-H7</f>
        <v>500000</v>
      </c>
      <c r="K7" s="4" t="s">
        <v>519</v>
      </c>
      <c r="L7" s="5" t="s">
        <v>520</v>
      </c>
      <c r="M7" s="15" t="s">
        <v>521</v>
      </c>
    </row>
    <row r="8" spans="1:13" ht="24" customHeight="1" x14ac:dyDescent="0.25">
      <c r="A8" s="16" t="s">
        <v>522</v>
      </c>
      <c r="B8" s="17" t="s">
        <v>523</v>
      </c>
      <c r="C8" s="17" t="s">
        <v>524</v>
      </c>
      <c r="D8" s="16" t="s">
        <v>525</v>
      </c>
      <c r="E8" s="16" t="s">
        <v>526</v>
      </c>
      <c r="F8" s="25" t="s">
        <v>527</v>
      </c>
      <c r="G8" s="25" t="s">
        <v>528</v>
      </c>
      <c r="H8" s="24">
        <v>0</v>
      </c>
      <c r="I8" s="24">
        <v>220000</v>
      </c>
      <c r="J8" s="32">
        <f>I8-H8</f>
        <v>220000</v>
      </c>
      <c r="K8" s="16" t="s">
        <v>529</v>
      </c>
      <c r="L8" s="17" t="s">
        <v>530</v>
      </c>
      <c r="M8" s="25" t="s">
        <v>531</v>
      </c>
    </row>
    <row r="9" spans="1:13" ht="24" customHeight="1" x14ac:dyDescent="0.25">
      <c r="A9" s="4" t="s">
        <v>532</v>
      </c>
      <c r="B9" s="5" t="s">
        <v>533</v>
      </c>
      <c r="C9" s="5" t="s">
        <v>355</v>
      </c>
      <c r="D9" s="4" t="s">
        <v>525</v>
      </c>
      <c r="E9" s="4" t="s">
        <v>526</v>
      </c>
      <c r="F9" s="15" t="s">
        <v>534</v>
      </c>
      <c r="G9" s="15" t="s">
        <v>535</v>
      </c>
      <c r="H9" s="13">
        <v>0</v>
      </c>
      <c r="I9" s="13">
        <v>90000</v>
      </c>
      <c r="J9" s="31">
        <f>I9-H9</f>
        <v>90000</v>
      </c>
      <c r="K9" s="4" t="s">
        <v>529</v>
      </c>
      <c r="L9" s="5" t="s">
        <v>536</v>
      </c>
      <c r="M9" s="15" t="s">
        <v>537</v>
      </c>
    </row>
    <row r="10" spans="1:13" ht="24" customHeight="1" x14ac:dyDescent="0.25">
      <c r="A10" s="16" t="s">
        <v>538</v>
      </c>
      <c r="B10" s="17" t="s">
        <v>539</v>
      </c>
      <c r="C10" s="17" t="s">
        <v>540</v>
      </c>
      <c r="D10" s="16" t="s">
        <v>525</v>
      </c>
      <c r="E10" s="16" t="s">
        <v>541</v>
      </c>
      <c r="F10" s="25" t="s">
        <v>542</v>
      </c>
      <c r="G10" s="25" t="s">
        <v>543</v>
      </c>
      <c r="H10" s="24">
        <v>0</v>
      </c>
      <c r="I10" s="24">
        <v>0</v>
      </c>
      <c r="J10" s="24">
        <v>0</v>
      </c>
      <c r="K10" s="16" t="s">
        <v>544</v>
      </c>
      <c r="L10" s="17" t="s">
        <v>545</v>
      </c>
      <c r="M10" s="25" t="s">
        <v>546</v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2"/>
  <sheetViews>
    <sheetView workbookViewId="0"/>
  </sheetViews>
  <sheetFormatPr baseColWidth="10" defaultColWidth="9.140625" defaultRowHeight="15" x14ac:dyDescent="0.25"/>
  <cols>
    <col min="1" max="1" width="38" customWidth="1"/>
    <col min="2" max="2" width="22" customWidth="1"/>
    <col min="3" max="3" width="6" customWidth="1"/>
    <col min="4" max="4" width="32" customWidth="1"/>
    <col min="5" max="5" width="22" customWidth="1"/>
    <col min="6" max="6" width="6" customWidth="1"/>
  </cols>
  <sheetData>
    <row r="1" spans="1:6" ht="36" customHeight="1" x14ac:dyDescent="0.25">
      <c r="A1" s="43" t="s">
        <v>547</v>
      </c>
      <c r="B1" s="41"/>
      <c r="C1" s="41"/>
      <c r="D1" s="41"/>
      <c r="E1" s="41"/>
      <c r="F1" s="41"/>
    </row>
    <row r="2" spans="1:6" ht="21.95" customHeight="1" x14ac:dyDescent="0.25">
      <c r="A2" s="51" t="s">
        <v>548</v>
      </c>
      <c r="B2" s="41"/>
      <c r="C2" s="41"/>
      <c r="D2" s="41"/>
      <c r="E2" s="41"/>
      <c r="F2" s="41"/>
    </row>
    <row r="4" spans="1:6" ht="26.1" customHeight="1" x14ac:dyDescent="0.25">
      <c r="A4" s="36" t="s">
        <v>549</v>
      </c>
      <c r="B4" s="37">
        <v>150000</v>
      </c>
      <c r="D4" s="36" t="s">
        <v>550</v>
      </c>
      <c r="E4" s="37">
        <v>5000</v>
      </c>
    </row>
    <row r="5" spans="1:6" ht="26.1" customHeight="1" x14ac:dyDescent="0.25">
      <c r="A5" s="36" t="s">
        <v>551</v>
      </c>
      <c r="B5" s="38">
        <v>0.3</v>
      </c>
      <c r="D5" s="36" t="s">
        <v>552</v>
      </c>
      <c r="E5" s="38">
        <v>0.16</v>
      </c>
    </row>
    <row r="6" spans="1:6" ht="26.1" customHeight="1" x14ac:dyDescent="0.25">
      <c r="A6" s="36" t="s">
        <v>553</v>
      </c>
      <c r="B6" s="37">
        <v>18000</v>
      </c>
      <c r="D6" s="36" t="s">
        <v>554</v>
      </c>
      <c r="E6" s="37">
        <v>90000</v>
      </c>
    </row>
    <row r="8" spans="1:6" ht="26.1" customHeight="1" x14ac:dyDescent="0.25">
      <c r="A8" s="36" t="s">
        <v>555</v>
      </c>
      <c r="B8" s="37">
        <f>B4+E4</f>
        <v>155000</v>
      </c>
    </row>
    <row r="10" spans="1:6" ht="26.1" customHeight="1" x14ac:dyDescent="0.25">
      <c r="A10" s="36" t="s">
        <v>556</v>
      </c>
      <c r="B10" s="39">
        <f>ROUNDUP(B8/(1-B5), -3)</f>
        <v>222000</v>
      </c>
      <c r="D10" s="36" t="s">
        <v>557</v>
      </c>
      <c r="E10" s="14">
        <f>B10-B8</f>
        <v>67000</v>
      </c>
    </row>
    <row r="11" spans="1:6" ht="26.1" customHeight="1" x14ac:dyDescent="0.25">
      <c r="A11" s="36" t="s">
        <v>558</v>
      </c>
      <c r="B11" s="39">
        <f>ROUNDUP((B8+IF(B10&gt;=E6,B6,0))/(1-B5-E5), -3)</f>
        <v>321000</v>
      </c>
      <c r="D11" s="36" t="s">
        <v>559</v>
      </c>
      <c r="E11" s="14">
        <f>B11-(B8+IF(B10&gt;=E6,B6,0))-(B11*E5)</f>
        <v>96640</v>
      </c>
    </row>
    <row r="12" spans="1:6" ht="26.1" customHeight="1" x14ac:dyDescent="0.25">
      <c r="A12" s="36" t="s">
        <v>560</v>
      </c>
      <c r="B12" s="39">
        <f>B10</f>
        <v>222000</v>
      </c>
      <c r="D12" s="36" t="s">
        <v>561</v>
      </c>
      <c r="E12" s="38">
        <f>IF(B10&gt;0,(B10-B8)/B10,0)</f>
        <v>0.30180180180180183</v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📦 Inventario Maestro</vt:lpstr>
      <vt:lpstr>📊 Resumen y Métricas</vt:lpstr>
      <vt:lpstr>🛠️ Triaje Usados y Repuestos</vt:lpstr>
      <vt:lpstr>💰 Calculadora de Precios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Andrea Silva</cp:lastModifiedBy>
  <dcterms:created xsi:type="dcterms:W3CDTF">2026-09-03T03:59:56Z</dcterms:created>
  <dcterms:modified xsi:type="dcterms:W3CDTF">2026-09-03T23:38:20Z</dcterms:modified>
</cp:coreProperties>
</file>