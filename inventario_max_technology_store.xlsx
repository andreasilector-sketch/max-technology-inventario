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LED 27 Pulgadas FHD 144Hz 1ms IPS (DHI-LM27-A221Y)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>
        <is>
          <t>Negro</t>
        </is>
      </c>
      <c r="G40" s="56" t="inlineStr">
        <is>
          <t>6938596001279</t>
        </is>
      </c>
      <c r="H40" s="55" t="inlineStr">
        <is>
          <t>NUEVO</t>
        </is>
      </c>
      <c r="I40" s="57" t="inlineStr">
        <is>
          <t>🟢 En Stock</t>
        </is>
      </c>
      <c r="J40" s="58" t="n">
        <v>10</v>
      </c>
      <c r="K40" s="59" t="n">
        <v>11</v>
      </c>
      <c r="L40" s="55" t="inlineStr">
        <is>
          <t>Bodega / Taller - Estante Monitores</t>
        </is>
      </c>
      <c r="M40" s="60" t="n">
        <v>311071</v>
      </c>
      <c r="N40" s="61" t="n">
        <v>0.20238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IMAGENES DE PRODUCTOS/Monitor dahua led 27 pulgadas ips 144 hz full hd.webp</t>
        </is>
      </c>
      <c r="W40" s="54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54" t="inlineStr">
        <is>
          <t>10 unidades físicas selladas. Seriales: BLR01916302500002 a BLR01916302500646. Factura FT-9364.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>
      <c r="A64" s="77" t="inlineStr">
        <is>
          <t>MTS-0061</t>
        </is>
      </c>
      <c r="B64" s="67" t="inlineStr">
        <is>
          <t>Disco Estado Sólido SSD M.2 NVMe 1TB ADATA Legend 710 PCIe Gen3 x4</t>
        </is>
      </c>
      <c r="C64" s="68" t="inlineStr">
        <is>
          <t>Almacenamiento y Memorias</t>
        </is>
      </c>
      <c r="D64" s="68" t="inlineStr">
        <is>
          <t>ADATA</t>
        </is>
      </c>
      <c r="E64" s="69" t="inlineStr">
        <is>
          <t>ALEG-710-1TCS</t>
        </is>
      </c>
      <c r="F64" s="69" t="inlineStr">
        <is>
          <t>Azul / Negro</t>
        </is>
      </c>
      <c r="G64" s="69" t="inlineStr">
        <is>
          <t>4711085635398</t>
        </is>
      </c>
      <c r="H64" s="69" t="inlineStr">
        <is>
          <t>NUEVO</t>
        </is>
      </c>
      <c r="I64" s="70" t="inlineStr">
        <is>
          <t>🟢 En Stock</t>
        </is>
      </c>
      <c r="J64" s="70" t="n">
        <v>2</v>
      </c>
      <c r="K64" s="69" t="n">
        <v>2</v>
      </c>
      <c r="L64" s="69" t="inlineStr">
        <is>
          <t>Vitrina Accesorios / Taller</t>
        </is>
      </c>
      <c r="M64" s="78" t="n">
        <v>530000</v>
      </c>
      <c r="N64" s="79" t="n">
        <v>0.13</v>
      </c>
      <c r="O64" s="80">
        <f>IF(N64&lt;1, ROUNDUP(M64/(1-N64), -3), M64)</f>
        <v/>
      </c>
      <c r="P64" s="79" t="n">
        <v>0.16</v>
      </c>
      <c r="Q64" s="78">
        <f>IF((1-N64-P64)&gt;0, ROUNDUP((M64+IF(O64&gt;=90000,20000,0))/(1-N64-P64), -3), O64)</f>
        <v/>
      </c>
      <c r="R64" s="78">
        <f>O64</f>
        <v/>
      </c>
      <c r="S64" s="78">
        <f>O64-M64</f>
        <v/>
      </c>
      <c r="T64" s="79">
        <f>IF(O64&gt;0, (O64-M64)/O64, 0)</f>
        <v/>
      </c>
      <c r="U64" s="69" t="inlineStr">
        <is>
          <t>6 Meses</t>
        </is>
      </c>
      <c r="V64" s="68" t="inlineStr">
        <is>
          <t>IMAGENES DE PRODUCTOS/ADATA_LEGEND_710_1TB.jpg</t>
        </is>
      </c>
      <c r="W64" s="68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68" t="inlineStr"/>
    </row>
    <row r="65">
      <c r="A65" s="77" t="inlineStr">
        <is>
          <t>MTS-0062</t>
        </is>
      </c>
      <c r="B65" s="67" t="inlineStr">
        <is>
          <t>Teclado para Portátil Acer Aspire E1-470 E5-471P V3-472 3830T 4830 Negro Español</t>
        </is>
      </c>
      <c r="C65" s="68" t="inlineStr">
        <is>
          <t>Periféricos y Accesorios</t>
        </is>
      </c>
      <c r="D65" s="68" t="inlineStr">
        <is>
          <t>Acer / Compatible</t>
        </is>
      </c>
      <c r="E65" s="69" t="inlineStr">
        <is>
          <t>00002272</t>
        </is>
      </c>
      <c r="F65" s="69" t="inlineStr">
        <is>
          <t>Negro</t>
        </is>
      </c>
      <c r="G65" s="69" t="inlineStr">
        <is>
          <t>Sin código</t>
        </is>
      </c>
      <c r="H65" s="69" t="inlineStr">
        <is>
          <t>NUEVO</t>
        </is>
      </c>
      <c r="I65" s="70" t="inlineStr">
        <is>
          <t>🟢 En Stock</t>
        </is>
      </c>
      <c r="J65" s="70" t="n">
        <v>1</v>
      </c>
      <c r="K65" s="69" t="n">
        <v>1</v>
      </c>
      <c r="L65" s="69" t="inlineStr">
        <is>
          <t>Taller - Repuestos</t>
        </is>
      </c>
      <c r="M65" s="78" t="n">
        <v>50000</v>
      </c>
      <c r="N65" s="79" t="n">
        <v>0.3</v>
      </c>
      <c r="O65" s="80">
        <f>IF(N65&lt;1, ROUNDUP(M65/(1-N65), -3), M65)</f>
        <v/>
      </c>
      <c r="P65" s="79" t="n">
        <v>0.16</v>
      </c>
      <c r="Q65" s="78">
        <f>IF((1-N65-P65)&gt;0, ROUNDUP((M65+IF(O65&gt;=90000,20000,0))/(1-N65-P65), -3), O65)</f>
        <v/>
      </c>
      <c r="R65" s="78">
        <f>O65</f>
        <v/>
      </c>
      <c r="S65" s="78">
        <f>O65-M65</f>
        <v/>
      </c>
      <c r="T65" s="79">
        <f>IF(O65&gt;0, (O65-M65)/O65, 0)</f>
        <v/>
      </c>
      <c r="U65" s="69" t="inlineStr">
        <is>
          <t>6 Meses</t>
        </is>
      </c>
      <c r="V65" s="68" t="inlineStr">
        <is>
          <t>identidad visual max tech/Logo MAX Tech.png</t>
        </is>
      </c>
      <c r="W65" s="68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68" t="inlineStr">
        <is>
          <t>Serial: 2F50031050103. Factura FEVO 33009.</t>
        </is>
      </c>
    </row>
    <row r="66">
      <c r="A66" s="77" t="inlineStr">
        <is>
          <t>MTS-0063</t>
        </is>
      </c>
      <c r="B66" s="67" t="inlineStr">
        <is>
          <t>Disco Estado Sólido SSD 2.5" SATA III 240GB ADATA Ultimate SU650</t>
        </is>
      </c>
      <c r="C66" s="68" t="inlineStr">
        <is>
          <t>Almacenamiento y Memorias</t>
        </is>
      </c>
      <c r="D66" s="68" t="inlineStr">
        <is>
          <t>ADATA</t>
        </is>
      </c>
      <c r="E66" s="69" t="inlineStr">
        <is>
          <t>ASU650SS-240GT-R</t>
        </is>
      </c>
      <c r="F66" s="69" t="inlineStr">
        <is>
          <t>Negro</t>
        </is>
      </c>
      <c r="G66" s="69" t="inlineStr">
        <is>
          <t>4713435793672</t>
        </is>
      </c>
      <c r="H66" s="69" t="inlineStr">
        <is>
          <t>NUEVO</t>
        </is>
      </c>
      <c r="I66" s="70" t="inlineStr">
        <is>
          <t>🟢 En Stock</t>
        </is>
      </c>
      <c r="J66" s="70" t="n">
        <v>1</v>
      </c>
      <c r="K66" s="69" t="n">
        <v>1</v>
      </c>
      <c r="L66" s="69" t="inlineStr">
        <is>
          <t>Vitrina Accesorios / Taller</t>
        </is>
      </c>
      <c r="M66" s="78" t="n">
        <v>169000</v>
      </c>
      <c r="N66" s="79" t="n">
        <v>0.295833</v>
      </c>
      <c r="O66" s="80">
        <f>IF(N66&lt;1, ROUNDUP(M66/(1-N66), -3), M66)</f>
        <v/>
      </c>
      <c r="P66" s="79" t="n">
        <v>0.16</v>
      </c>
      <c r="Q66" s="78">
        <f>IF((1-N66-P66)&gt;0, ROUNDUP((M66+IF(O66&gt;=90000,20000,0))/(1-N66-P66), -3), O66)</f>
        <v/>
      </c>
      <c r="R66" s="78">
        <f>O66</f>
        <v/>
      </c>
      <c r="S66" s="78">
        <f>O66-M66</f>
        <v/>
      </c>
      <c r="T66" s="79">
        <f>IF(O66&gt;0, (O66-M66)/O66, 0)</f>
        <v/>
      </c>
      <c r="U66" s="69" t="inlineStr">
        <is>
          <t>36 Meses (3 Años ADATA)</t>
        </is>
      </c>
      <c r="V66" s="68" t="inlineStr">
        <is>
          <t>IMAGENES DE PRODUCTOS/adata 240 gb sata.jpg</t>
        </is>
      </c>
      <c r="W66" s="68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68" t="inlineStr">
        <is>
          <t>Producto nuevo remisionado. Referencia SU650.</t>
        </is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2026-09-13T22:20:50Z</dcterms:modified>
  <cp:lastModifiedBy>Andrea Silva</cp:lastModifiedBy>
</cp:coreProperties>
</file>