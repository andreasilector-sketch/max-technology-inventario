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990" tabRatio="600" firstSheet="0" activeTab="0" autoFilterDateGrouping="1"/>
  </bookViews>
  <sheets>
    <sheet xmlns:r="http://schemas.openxmlformats.org/officeDocument/2006/relationships" name="📦 Inventario Maestro" sheetId="1" state="visible" r:id="rId1"/>
    <sheet xmlns:r="http://schemas.openxmlformats.org/officeDocument/2006/relationships" name="📊 Resumen y Métricas" sheetId="2" state="visible" r:id="rId2"/>
    <sheet xmlns:r="http://schemas.openxmlformats.org/officeDocument/2006/relationships" name="🛠️ Triaje Usados y Repuestos" sheetId="3" state="visible" r:id="rId3"/>
    <sheet xmlns:r="http://schemas.openxmlformats.org/officeDocument/2006/relationships" name="💰 Calculadora de Precio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$#,##0"/>
    <numFmt numFmtId="165" formatCode="0.0%"/>
    <numFmt numFmtId="166" formatCode="$#,##0"/>
  </numFmts>
  <fonts count="19">
    <font>
      <name val="Calibri"/>
      <family val="2"/>
      <color theme="1"/>
      <sz val="11"/>
      <scheme val="minor"/>
    </font>
    <font>
      <name val="Segoe UI"/>
      <b val="1"/>
      <color rgb="FFFFFFFF"/>
      <sz val="14"/>
    </font>
    <font>
      <name val="Segoe UI"/>
      <b val="1"/>
      <color rgb="FF1565C0"/>
      <sz val="9"/>
    </font>
    <font>
      <name val="Segoe UI"/>
      <b val="1"/>
      <color rgb="FFFFFFFF"/>
      <sz val="9.5"/>
    </font>
    <font>
      <name val="Segoe UI"/>
      <b val="1"/>
      <color rgb="FF000000"/>
      <sz val="9.5"/>
    </font>
    <font>
      <name val="Segoe UI"/>
      <b val="1"/>
      <color rgb="FF1E7E34"/>
      <sz val="9.5"/>
    </font>
    <font>
      <name val="Segoe UI"/>
      <b val="1"/>
      <color rgb="FFFFFFFF"/>
      <sz val="10"/>
    </font>
    <font>
      <name val="Segoe UI"/>
      <b val="1"/>
      <color rgb="FF555555"/>
      <sz val="9"/>
    </font>
    <font>
      <name val="Segoe UI"/>
      <b val="1"/>
      <color rgb="FF1565C0"/>
      <sz val="14"/>
    </font>
    <font>
      <name val="Segoe UI"/>
      <b val="1"/>
      <color rgb="FFD91F26"/>
      <sz val="14"/>
    </font>
    <font>
      <name val="Segoe UI"/>
      <b val="1"/>
      <color rgb="FF2E7D32"/>
      <sz val="14"/>
    </font>
    <font>
      <name val="Segoe UI"/>
      <b val="1"/>
      <color rgb="FFD91F26"/>
      <sz val="12"/>
    </font>
    <font>
      <name val="Segoe UI"/>
      <b val="1"/>
      <color rgb="FF37474F"/>
      <sz val="9"/>
    </font>
    <font>
      <name val="Segoe UI"/>
      <i val="1"/>
      <color rgb="FF444444"/>
      <sz val="10"/>
    </font>
    <font>
      <name val="Segoe UI"/>
      <b val="1"/>
      <color rgb="FFB71C1C"/>
      <sz val="11"/>
    </font>
    <font>
      <name val="Segoe UI Semibold"/>
      <b val="1"/>
      <color rgb="FFD91F26"/>
      <sz val="9"/>
    </font>
    <font>
      <name val="Segoe UI"/>
      <b val="1"/>
      <sz val="9"/>
    </font>
    <font>
      <name val="Segoe UI"/>
      <sz val="9"/>
    </font>
    <font>
      <name val="Segoe UI Semibold"/>
      <b val="1"/>
      <color rgb="00D91F26"/>
      <sz val="9"/>
    </font>
  </fonts>
  <fills count="17">
    <fill>
      <patternFill/>
    </fill>
    <fill>
      <patternFill patternType="gray125"/>
    </fill>
    <fill>
      <patternFill patternType="solid">
        <fgColor rgb="FFD91F26"/>
        <bgColor rgb="FFD91F26"/>
      </patternFill>
    </fill>
    <fill>
      <patternFill patternType="solid">
        <fgColor rgb="FFE3F2FD"/>
        <bgColor rgb="FFE3F2FD"/>
      </patternFill>
    </fill>
    <fill>
      <patternFill patternType="solid">
        <fgColor rgb="FF2C2C2C"/>
        <bgColor rgb="FF2C2C2C"/>
      </patternFill>
    </fill>
    <fill>
      <patternFill patternType="solid">
        <fgColor rgb="FFB71C1C"/>
        <bgColor rgb="FFB71C1C"/>
      </patternFill>
    </fill>
    <fill>
      <patternFill patternType="solid">
        <fgColor rgb="FFF57F17"/>
        <bgColor rgb="FFF57F17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  <fill>
      <patternFill patternType="solid">
        <fgColor rgb="FFF4F4F6"/>
        <bgColor rgb="FFF4F4F6"/>
      </patternFill>
    </fill>
    <fill>
      <patternFill patternType="solid">
        <fgColor rgb="FFF0F0F0"/>
        <bgColor rgb="FFF0F0F0"/>
      </patternFill>
    </fill>
    <fill>
      <patternFill patternType="solid">
        <fgColor rgb="FF37474F"/>
        <bgColor rgb="FF37474F"/>
      </patternFill>
    </fill>
    <fill>
      <patternFill patternType="solid">
        <fgColor rgb="FFECEFF1"/>
        <bgColor rgb="FFECEFF1"/>
      </patternFill>
    </fill>
    <fill>
      <patternFill patternType="solid">
        <fgColor rgb="FF455A64"/>
        <bgColor rgb="FF455A64"/>
      </patternFill>
    </fill>
    <fill>
      <patternFill patternType="solid">
        <fgColor rgb="FFFFF3E0"/>
        <bgColor rgb="FFFFF3E0"/>
      </patternFill>
    </fill>
    <fill>
      <patternFill patternType="solid">
        <fgColor rgb="FFFFFFFF"/>
        <bgColor rgb="FFFFFFFF"/>
      </patternFill>
    </fill>
    <fill>
      <patternFill patternType="solid">
        <fgColor rgb="FF111111"/>
        <bgColor rgb="FF111111"/>
      </patternFill>
    </fill>
  </fills>
  <borders count="13">
    <border>
      <left/>
      <right/>
      <top/>
      <bottom/>
      <diagonal/>
    </border>
    <border>
      <left style="thin">
        <color rgb="FFD1D1D6"/>
      </left>
      <right style="thin">
        <color rgb="FFD1D1D6"/>
      </right>
      <top style="medium">
        <color rgb="FF2C2C2C"/>
      </top>
      <bottom style="medium">
        <color rgb="FF2C2C2C"/>
      </bottom>
      <diagonal/>
    </border>
    <border>
      <left style="thin">
        <color rgb="FFD1D1D6"/>
      </left>
      <right style="thin">
        <color rgb="FFD1D1D6"/>
      </right>
      <top style="thin">
        <color rgb="FFD1D1D6"/>
      </top>
      <bottom style="thin">
        <color rgb="FFD1D1D6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/>
      <diagonal/>
    </border>
    <border>
      <left/>
      <right style="thin">
        <color rgb="FFE0E0E0"/>
      </right>
      <top style="thin">
        <color rgb="FFE0E0E0"/>
      </top>
      <bottom/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left" vertical="center"/>
    </xf>
    <xf numFmtId="3" fontId="0" fillId="8" borderId="2" applyAlignment="1" pivotButton="0" quotePrefix="0" xfId="0">
      <alignment horizontal="center" vertical="center"/>
    </xf>
    <xf numFmtId="164" fontId="0" fillId="8" borderId="2" applyAlignment="1" pivotButton="0" quotePrefix="0" xfId="0">
      <alignment horizontal="right" vertical="center"/>
    </xf>
    <xf numFmtId="164" fontId="5" fillId="7" borderId="2" applyAlignment="1" pivotButton="0" quotePrefix="0" xfId="0">
      <alignment horizontal="right" vertical="center"/>
    </xf>
    <xf numFmtId="0" fontId="0" fillId="8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left" vertical="center"/>
    </xf>
    <xf numFmtId="3" fontId="0" fillId="9" borderId="2" applyAlignment="1" pivotButton="0" quotePrefix="0" xfId="0">
      <alignment horizontal="center" vertical="center"/>
    </xf>
    <xf numFmtId="164" fontId="0" fillId="9" borderId="2" applyAlignment="1" pivotButton="0" quotePrefix="0" xfId="0">
      <alignment horizontal="right" vertical="center"/>
    </xf>
    <xf numFmtId="0" fontId="0" fillId="9" borderId="2" applyAlignment="1" pivotButton="0" quotePrefix="0" xfId="0">
      <alignment horizontal="left" vertical="center" wrapText="1"/>
    </xf>
    <xf numFmtId="3" fontId="6" fillId="4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5" fillId="8" borderId="2" applyAlignment="1" pivotButton="0" quotePrefix="0" xfId="0">
      <alignment horizontal="right" vertical="center"/>
    </xf>
    <xf numFmtId="164" fontId="5" fillId="9" borderId="2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right" vertical="center"/>
    </xf>
    <xf numFmtId="0" fontId="3" fillId="1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0" fillId="0" borderId="2" applyAlignment="1" pivotButton="0" quotePrefix="0" xfId="0">
      <alignment horizontal="right" vertical="center"/>
    </xf>
    <xf numFmtId="165" fontId="0" fillId="0" borderId="2" applyAlignment="1" pivotButton="0" quotePrefix="0" xfId="0">
      <alignment horizontal="right" vertical="center"/>
    </xf>
    <xf numFmtId="164" fontId="14" fillId="14" borderId="2" applyAlignment="1" pivotButton="0" quotePrefix="0" xfId="0">
      <alignment horizontal="right" vertical="center"/>
    </xf>
    <xf numFmtId="0" fontId="15" fillId="15" borderId="3" applyAlignment="1" pivotButton="0" quotePrefix="0" xfId="0">
      <alignment horizontal="center" vertical="center"/>
    </xf>
    <xf numFmtId="0" fontId="16" fillId="15" borderId="3" applyAlignment="1" pivotButton="0" quotePrefix="0" xfId="0">
      <alignment horizontal="left" vertical="center"/>
    </xf>
    <xf numFmtId="0" fontId="17" fillId="15" borderId="3" applyAlignment="1" pivotButton="0" quotePrefix="0" xfId="0">
      <alignment horizontal="left" vertical="center"/>
    </xf>
    <xf numFmtId="0" fontId="17" fillId="15" borderId="3" applyAlignment="1" pivotButton="0" quotePrefix="0" xfId="0">
      <alignment horizontal="center" vertical="center"/>
    </xf>
    <xf numFmtId="49" fontId="17" fillId="15" borderId="3" applyAlignment="1" pivotButton="0" quotePrefix="0" xfId="0">
      <alignment horizontal="center" vertical="center"/>
    </xf>
    <xf numFmtId="0" fontId="16" fillId="15" borderId="3" applyAlignment="1" pivotButton="0" quotePrefix="0" xfId="0">
      <alignment horizontal="center" vertical="center"/>
    </xf>
    <xf numFmtId="3" fontId="16" fillId="15" borderId="3" applyAlignment="1" pivotButton="0" quotePrefix="0" xfId="0">
      <alignment horizontal="center" vertical="center"/>
    </xf>
    <xf numFmtId="3" fontId="17" fillId="15" borderId="3" applyAlignment="1" pivotButton="0" quotePrefix="0" xfId="0">
      <alignment horizontal="center" vertical="center"/>
    </xf>
    <xf numFmtId="164" fontId="17" fillId="15" borderId="3" applyAlignment="1" pivotButton="0" quotePrefix="0" xfId="0">
      <alignment horizontal="right" vertical="center"/>
    </xf>
    <xf numFmtId="165" fontId="17" fillId="15" borderId="3" applyAlignment="1" pivotButton="0" quotePrefix="0" xfId="0">
      <alignment horizontal="right" vertical="center"/>
    </xf>
    <xf numFmtId="164" fontId="16" fillId="15" borderId="3" applyAlignment="1" pivotButton="0" quotePrefix="0" xfId="0">
      <alignment horizontal="right" vertical="center"/>
    </xf>
    <xf numFmtId="0" fontId="16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16" fillId="16" borderId="3" applyAlignment="1" pivotButton="0" quotePrefix="0" xfId="0">
      <alignment horizontal="center" vertical="center"/>
    </xf>
    <xf numFmtId="0" fontId="17" fillId="16" borderId="3" applyAlignment="1" pivotButton="0" quotePrefix="0" xfId="0">
      <alignment horizontal="center" vertical="center"/>
    </xf>
    <xf numFmtId="164" fontId="17" fillId="16" borderId="3" applyAlignment="1" pivotButton="0" quotePrefix="0" xfId="0">
      <alignment horizontal="right" vertical="center"/>
    </xf>
    <xf numFmtId="165" fontId="17" fillId="16" borderId="3" applyAlignment="1" pivotButton="0" quotePrefix="0" xfId="0">
      <alignment horizontal="right" vertical="center"/>
    </xf>
    <xf numFmtId="164" fontId="16" fillId="16" borderId="3" applyAlignment="1" pivotButton="0" quotePrefix="0" xfId="0">
      <alignment horizontal="right" vertical="center"/>
    </xf>
    <xf numFmtId="0" fontId="17" fillId="16" borderId="3" applyAlignment="1" pivotButton="0" quotePrefix="0" xfId="0">
      <alignment horizontal="left" vertical="center"/>
    </xf>
    <xf numFmtId="0" fontId="15" fillId="0" borderId="3" applyAlignment="1" pivotButton="0" quotePrefix="0" xfId="0">
      <alignment horizontal="center" vertical="center"/>
    </xf>
    <xf numFmtId="164" fontId="17" fillId="0" borderId="3" applyAlignment="1" pivotButton="0" quotePrefix="0" xfId="0">
      <alignment horizontal="right" vertical="center"/>
    </xf>
    <xf numFmtId="165" fontId="17" fillId="0" borderId="3" applyAlignment="1" pivotButton="0" quotePrefix="0" xfId="0">
      <alignment horizontal="right" vertical="center"/>
    </xf>
    <xf numFmtId="164" fontId="16" fillId="0" borderId="3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15" fillId="16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indent="1"/>
    </xf>
    <xf numFmtId="0" fontId="7" fillId="10" borderId="0" applyAlignment="1" pivotButton="0" quotePrefix="0" xfId="0">
      <alignment horizontal="center" vertical="center"/>
    </xf>
    <xf numFmtId="164" fontId="10" fillId="8" borderId="0" applyAlignment="1" pivotButton="0" quotePrefix="0" xfId="0">
      <alignment horizontal="center" vertical="center"/>
    </xf>
    <xf numFmtId="164" fontId="9" fillId="8" borderId="0" applyAlignment="1" pivotButton="0" quotePrefix="0" xfId="0">
      <alignment horizontal="center" vertical="center"/>
    </xf>
    <xf numFmtId="0" fontId="11" fillId="0" borderId="0" pivotButton="0" quotePrefix="0" xfId="0"/>
    <xf numFmtId="164" fontId="8" fillId="8" borderId="0" applyAlignment="1" pivotButton="0" quotePrefix="0" xfId="0">
      <alignment horizontal="center" vertical="center"/>
    </xf>
    <xf numFmtId="0" fontId="12" fillId="12" borderId="0" applyAlignment="1" pivotButton="0" quotePrefix="0" xfId="0">
      <alignment horizontal="left" vertical="center" indent="1"/>
    </xf>
    <xf numFmtId="0" fontId="1" fillId="11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18" fillId="15" borderId="8" applyAlignment="1" pivotButton="0" quotePrefix="0" xfId="0">
      <alignment horizontal="center" vertical="center"/>
    </xf>
    <xf numFmtId="0" fontId="16" fillId="15" borderId="8" applyAlignment="1" pivotButton="0" quotePrefix="0" xfId="0">
      <alignment horizontal="left" vertical="center"/>
    </xf>
    <xf numFmtId="0" fontId="17" fillId="15" borderId="8" applyAlignment="1" pivotButton="0" quotePrefix="0" xfId="0">
      <alignment horizontal="left" vertical="center"/>
    </xf>
    <xf numFmtId="0" fontId="17" fillId="15" borderId="8" applyAlignment="1" pivotButton="0" quotePrefix="0" xfId="0">
      <alignment horizontal="center" vertical="center"/>
    </xf>
    <xf numFmtId="49" fontId="17" fillId="15" borderId="8" applyAlignment="1" pivotButton="0" quotePrefix="0" xfId="0">
      <alignment horizontal="center" vertical="center"/>
    </xf>
    <xf numFmtId="0" fontId="16" fillId="15" borderId="8" applyAlignment="1" pivotButton="0" quotePrefix="0" xfId="0">
      <alignment horizontal="center" vertical="center"/>
    </xf>
    <xf numFmtId="3" fontId="16" fillId="15" borderId="8" applyAlignment="1" pivotButton="0" quotePrefix="0" xfId="0">
      <alignment horizontal="center" vertical="center"/>
    </xf>
    <xf numFmtId="3" fontId="17" fillId="15" borderId="8" applyAlignment="1" pivotButton="0" quotePrefix="0" xfId="0">
      <alignment horizontal="center" vertical="center"/>
    </xf>
    <xf numFmtId="166" fontId="17" fillId="15" borderId="8" applyAlignment="1" pivotButton="0" quotePrefix="0" xfId="0">
      <alignment horizontal="right" vertical="center"/>
    </xf>
    <xf numFmtId="165" fontId="17" fillId="15" borderId="8" applyAlignment="1" pivotButton="0" quotePrefix="0" xfId="0">
      <alignment horizontal="right" vertical="center"/>
    </xf>
    <xf numFmtId="166" fontId="16" fillId="15" borderId="8" applyAlignment="1" pivotButton="0" quotePrefix="0" xfId="0">
      <alignment horizontal="right" vertical="center"/>
    </xf>
    <xf numFmtId="0" fontId="18" fillId="16" borderId="8" applyAlignment="1" pivotButton="0" quotePrefix="0" xfId="0">
      <alignment horizontal="center" vertical="center"/>
    </xf>
    <xf numFmtId="0" fontId="16" fillId="0" borderId="8" applyAlignment="1" pivotButton="0" quotePrefix="0" xfId="0">
      <alignment horizontal="left" vertical="center"/>
    </xf>
    <xf numFmtId="0" fontId="17" fillId="0" borderId="8" applyAlignment="1" pivotButton="0" quotePrefix="0" xfId="0">
      <alignment horizontal="left" vertical="center"/>
    </xf>
    <xf numFmtId="0" fontId="17" fillId="0" borderId="8" applyAlignment="1" pivotButton="0" quotePrefix="0" xfId="0">
      <alignment horizontal="center" vertical="center"/>
    </xf>
    <xf numFmtId="0" fontId="16" fillId="0" borderId="8" applyAlignment="1" pivotButton="0" quotePrefix="0" xfId="0">
      <alignment horizontal="center" vertical="center"/>
    </xf>
    <xf numFmtId="0" fontId="16" fillId="16" borderId="8" applyAlignment="1" pivotButton="0" quotePrefix="0" xfId="0">
      <alignment horizontal="center" vertical="center"/>
    </xf>
    <xf numFmtId="0" fontId="17" fillId="16" borderId="8" applyAlignment="1" pivotButton="0" quotePrefix="0" xfId="0">
      <alignment horizontal="center" vertical="center"/>
    </xf>
    <xf numFmtId="166" fontId="17" fillId="16" borderId="8" applyAlignment="1" pivotButton="0" quotePrefix="0" xfId="0">
      <alignment horizontal="right" vertical="center"/>
    </xf>
    <xf numFmtId="165" fontId="17" fillId="16" borderId="8" applyAlignment="1" pivotButton="0" quotePrefix="0" xfId="0">
      <alignment horizontal="right" vertical="center"/>
    </xf>
    <xf numFmtId="166" fontId="16" fillId="16" borderId="8" applyAlignment="1" pivotButton="0" quotePrefix="0" xfId="0">
      <alignment horizontal="right" vertical="center"/>
    </xf>
    <xf numFmtId="0" fontId="17" fillId="16" borderId="8" applyAlignment="1" pivotButton="0" quotePrefix="0" xfId="0">
      <alignment horizontal="left" vertical="center"/>
    </xf>
    <xf numFmtId="0" fontId="18" fillId="0" borderId="8" applyAlignment="1" pivotButton="0" quotePrefix="0" xfId="0">
      <alignment horizontal="center" vertical="center"/>
    </xf>
    <xf numFmtId="166" fontId="17" fillId="0" borderId="8" applyAlignment="1" pivotButton="0" quotePrefix="0" xfId="0">
      <alignment horizontal="right" vertical="center"/>
    </xf>
    <xf numFmtId="165" fontId="17" fillId="0" borderId="8" applyAlignment="1" pivotButton="0" quotePrefix="0" xfId="0">
      <alignment horizontal="right" vertical="center"/>
    </xf>
    <xf numFmtId="166" fontId="16" fillId="0" borderId="8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"/>
  <sheetViews>
    <sheetView tabSelected="1" topLeftCell="B1" workbookViewId="0">
      <selection activeCell="N6" sqref="N6"/>
    </sheetView>
  </sheetViews>
  <sheetFormatPr baseColWidth="10" defaultColWidth="9.140625" defaultRowHeight="15"/>
  <cols>
    <col width="12" customWidth="1" style="52" min="1" max="1"/>
    <col width="36" customWidth="1" style="52" min="2" max="2"/>
    <col width="22" customWidth="1" style="52" min="3" max="3"/>
    <col width="14" customWidth="1" style="52" min="4" max="4"/>
    <col width="18" customWidth="1" style="52" min="5" max="5"/>
    <col width="12" customWidth="1" style="52" min="6" max="6"/>
    <col width="20" customWidth="1" style="52" min="7" max="7"/>
    <col width="14" customWidth="1" style="52" min="8" max="8"/>
    <col width="16" customWidth="1" style="52" min="9" max="10"/>
    <col width="14" customWidth="1" style="52" min="11" max="11"/>
    <col width="20" customWidth="1" style="52" min="12" max="12"/>
    <col width="18" customWidth="1" style="52" min="13" max="13"/>
    <col width="14" customWidth="1" style="52" min="14" max="14"/>
    <col width="20" customWidth="1" style="52" min="15" max="15"/>
    <col width="13" customWidth="1" style="52" min="16" max="16"/>
    <col width="20" customWidth="1" style="52" min="17" max="17"/>
    <col width="18" customWidth="1" style="52" min="18" max="18"/>
    <col width="16" customWidth="1" style="52" min="19" max="19"/>
    <col width="14" customWidth="1" style="52" min="20" max="20"/>
    <col width="18" customWidth="1" style="52" min="21" max="21"/>
    <col width="26" customWidth="1" style="52" min="22" max="22"/>
    <col width="45" customWidth="1" style="52" min="23" max="23"/>
    <col width="30" customWidth="1" style="52" min="24" max="24"/>
  </cols>
  <sheetData>
    <row r="1" ht="36" customHeight="1" s="52">
      <c r="A1" s="58" t="inlineStr">
        <is>
          <t>MAX TECHNOLOGY STORE — INVENTARIO FÍSICO Y CATÁLOGO DE PRECIOS</t>
        </is>
      </c>
    </row>
    <row r="2" ht="21.95" customHeight="1" s="52">
      <c r="A2" s="51" t="inlineStr">
        <is>
          <t>🟡 Columna 'Stock Físico Actual': escribe la cantidad en taller | 🟢 Precios WhatsApp, MercadoLibre, Facebook y Utilidades calculados con fórmulas 100% compatibles</t>
        </is>
      </c>
    </row>
    <row r="3" ht="27.95" customHeight="1" s="52">
      <c r="A3" s="1" t="inlineStr">
        <is>
          <t>SKU</t>
        </is>
      </c>
      <c r="B3" s="1" t="inlineStr">
        <is>
          <t>Producto / Descripción Comercial</t>
        </is>
      </c>
      <c r="C3" s="1" t="inlineStr">
        <is>
          <t>Categoría</t>
        </is>
      </c>
      <c r="D3" s="1" t="inlineStr">
        <is>
          <t>Marca</t>
        </is>
      </c>
      <c r="E3" s="1" t="inlineStr">
        <is>
          <t>Modelo / No. Parte</t>
        </is>
      </c>
      <c r="F3" s="1" t="inlineStr">
        <is>
          <t>Color</t>
        </is>
      </c>
      <c r="G3" s="1" t="inlineStr">
        <is>
          <t>Código de Barras (EAN/UPC)</t>
        </is>
      </c>
      <c r="H3" s="1" t="inlineStr">
        <is>
          <t>Estado</t>
        </is>
      </c>
      <c r="I3" s="1" t="inlineStr">
        <is>
          <t>Disponibilidad</t>
        </is>
      </c>
      <c r="J3" s="2" t="inlineStr">
        <is>
          <t>Stock Físico Actual</t>
        </is>
      </c>
      <c r="K3" s="1" t="inlineStr">
        <is>
          <t>Histórico Comprado</t>
        </is>
      </c>
      <c r="L3" s="1" t="inlineStr">
        <is>
          <t>Ubicación Física</t>
        </is>
      </c>
      <c r="M3" s="1" t="inlineStr">
        <is>
          <t>Costo Total Unitario (COP)</t>
        </is>
      </c>
      <c r="N3" s="1" t="inlineStr">
        <is>
          <t>Margen Deseado</t>
        </is>
      </c>
      <c r="O3" s="3" t="inlineStr">
        <is>
          <t>Precio WhatsApp / Directo (COP)</t>
        </is>
      </c>
      <c r="P3" s="1" t="inlineStr">
        <is>
          <t>Comisión ML</t>
        </is>
      </c>
      <c r="Q3" s="3" t="inlineStr">
        <is>
          <t>Precio MercadoLibre (COP)</t>
        </is>
      </c>
      <c r="R3" s="3" t="inlineStr">
        <is>
          <t>Precio Facebook (COP)</t>
        </is>
      </c>
      <c r="S3" s="3" t="inlineStr">
        <is>
          <t>Utilidad Directa (COP)</t>
        </is>
      </c>
      <c r="T3" s="1" t="inlineStr">
        <is>
          <t>Margen Real Directo</t>
        </is>
      </c>
      <c r="U3" s="1" t="inlineStr">
        <is>
          <t>Garantía Oficial</t>
        </is>
      </c>
      <c r="V3" s="1" t="inlineStr">
        <is>
          <t>Ruta Foto Local</t>
        </is>
      </c>
      <c r="W3" s="1" t="inlineStr">
        <is>
          <t>Beneficio Principal (Cliente)</t>
        </is>
      </c>
      <c r="X3" s="1" t="inlineStr">
        <is>
          <t>Notas / Observaciones</t>
        </is>
      </c>
    </row>
    <row r="4" ht="24" customHeight="1" s="52">
      <c r="A4" s="67" t="inlineStr">
        <is>
          <t>MTS-0001</t>
        </is>
      </c>
      <c r="B4" s="68" t="inlineStr">
        <is>
          <t>Kit Solar Renogy 100W 12V Monocristalino + Controlador PWM 30A Wanderer</t>
        </is>
      </c>
      <c r="C4" s="69" t="inlineStr">
        <is>
          <t>Energía Solar y Electrónica</t>
        </is>
      </c>
      <c r="D4" s="69" t="inlineStr">
        <is>
          <t>Renogy</t>
        </is>
      </c>
      <c r="E4" s="70" t="inlineStr">
        <is>
          <t>RNG-KIT-STARTER100D-WND30</t>
        </is>
      </c>
      <c r="F4" s="70" t="inlineStr">
        <is>
          <t>Negro</t>
        </is>
      </c>
      <c r="G4" s="71" t="inlineStr">
        <is>
          <t>810057240123</t>
        </is>
      </c>
      <c r="H4" s="70" t="inlineStr">
        <is>
          <t>NUEVO</t>
        </is>
      </c>
      <c r="I4" s="72" t="inlineStr">
        <is>
          <t>🟢 En Stock</t>
        </is>
      </c>
      <c r="J4" s="73" t="n">
        <v>1</v>
      </c>
      <c r="K4" s="74" t="n">
        <v>1</v>
      </c>
      <c r="L4" s="70" t="inlineStr">
        <is>
          <t>Bodega Principal - Estante A</t>
        </is>
      </c>
      <c r="M4" s="75" t="n">
        <v>580115</v>
      </c>
      <c r="N4" s="76" t="n">
        <v>0.3002223163115999</v>
      </c>
      <c r="O4" s="77">
        <f>IF(N4&lt;1, ROUNDUP(M4/(1-N4), -3), M4)</f>
        <v/>
      </c>
      <c r="P4" s="76" t="n">
        <v>0.16</v>
      </c>
      <c r="Q4" s="75">
        <f>IF((1-N4-P4)&gt;0, ROUNDUP((M4+IF(O4&gt;=90000,20000,0))/(1-N4-P4), -3), O4)</f>
        <v/>
      </c>
      <c r="R4" s="75">
        <f>O4</f>
        <v/>
      </c>
      <c r="S4" s="75">
        <f>O4-M4</f>
        <v/>
      </c>
      <c r="T4" s="76">
        <f>IF(O4&gt;0, (O4-M4)/O4, 0)</f>
        <v/>
      </c>
      <c r="U4" s="70" t="inlineStr">
        <is>
          <t>12 Meses</t>
        </is>
      </c>
      <c r="V4" s="69" t="inlineStr">
        <is>
          <t>IMAGENES DE PRODUCTOS/Panel solar.jpg</t>
        </is>
      </c>
      <c r="W4" s="69" t="inlineStr">
        <is>
          <t>Kit solar completo con panel monocristalino de 100W y controlador inteligente de 30A. Te da energía limpia y autónoma en fincas, casas de campo o vehículos recreativos para iluminar, cargar celulares y alimentar equipos.</t>
        </is>
      </c>
      <c r="X4" s="69" t="inlineStr">
        <is>
          <t>Kit sellado de fábrica.</t>
        </is>
      </c>
    </row>
    <row r="5" ht="24" customHeight="1" s="52">
      <c r="A5" s="67" t="inlineStr">
        <is>
          <t>MTS-0002</t>
        </is>
      </c>
      <c r="B5" s="68" t="inlineStr">
        <is>
          <t>Lector Escáner de Código de Barras Zebra DS9208 Digital 1D y 2D Manos Libres USB</t>
        </is>
      </c>
      <c r="C5" s="69" t="inlineStr">
        <is>
          <t>Puntos de Venta y POS</t>
        </is>
      </c>
      <c r="D5" s="69" t="inlineStr">
        <is>
          <t>Zebra</t>
        </is>
      </c>
      <c r="E5" s="70" t="inlineStr">
        <is>
          <t>DS9208-SR4NNU21Z</t>
        </is>
      </c>
      <c r="F5" s="70" t="inlineStr">
        <is>
          <t>Negro</t>
        </is>
      </c>
      <c r="G5" s="71" t="inlineStr"/>
      <c r="H5" s="70" t="inlineStr">
        <is>
          <t>REMANUFACTURADO</t>
        </is>
      </c>
      <c r="I5" s="72" t="inlineStr">
        <is>
          <t>🟢 En Stock</t>
        </is>
      </c>
      <c r="J5" s="73" t="n">
        <v>2</v>
      </c>
      <c r="K5" s="74" t="n">
        <v>2</v>
      </c>
      <c r="L5" s="70" t="inlineStr">
        <is>
          <t>Vitrina Principal - POS</t>
        </is>
      </c>
      <c r="M5" s="75" t="n">
        <v>131293</v>
      </c>
      <c r="N5" s="76" t="n">
        <v>0.2042800259395512</v>
      </c>
      <c r="O5" s="77">
        <f>IF(N5&lt;1, ROUNDUP(M5/(1-N5), -3), M5)</f>
        <v/>
      </c>
      <c r="P5" s="76" t="n">
        <v>0.16</v>
      </c>
      <c r="Q5" s="75">
        <f>IF((1-N5-P5)&gt;0, ROUNDUP((M5+IF(O5&gt;=90000,20000,0))/(1-N5-P5), -3), O5)</f>
        <v/>
      </c>
      <c r="R5" s="75">
        <f>O5</f>
        <v/>
      </c>
      <c r="S5" s="75">
        <f>O5-M5</f>
        <v/>
      </c>
      <c r="T5" s="76">
        <f>IF(O5&gt;0, (O5-M5)/O5, 0)</f>
        <v/>
      </c>
      <c r="U5" s="70" t="inlineStr">
        <is>
          <t>3 Meses de Garantía</t>
        </is>
      </c>
      <c r="V5" s="69" t="inlineStr">
        <is>
          <t>IMAGENES DE PRODUCTOS/ZEBRA DS9208.jpg</t>
        </is>
      </c>
      <c r="W5" s="69" t="inlineStr">
        <is>
          <t>Lector digital de alta velocidad manos libres para puntos de venta, supermercados y farmacias. Lee códigos de barras tradicionales (1D) y códigos QR / 2D tanto impresos en papel como directamente desde la pantalla del celular. Conexión USB inmediata plug &amp; play.</t>
        </is>
      </c>
      <c r="X5" s="69" t="inlineStr"/>
    </row>
    <row r="6" ht="24" customHeight="1" s="52">
      <c r="A6" s="67" t="inlineStr">
        <is>
          <t>MTS-0003</t>
        </is>
      </c>
      <c r="B6" s="68" t="inlineStr">
        <is>
          <t>Mouse Inalámbrico Logitech M170 Óptico 1000 DPI Negro</t>
        </is>
      </c>
      <c r="C6" s="69" t="inlineStr">
        <is>
          <t>Periféricos y Accesorios</t>
        </is>
      </c>
      <c r="D6" s="69" t="inlineStr">
        <is>
          <t>Logitech</t>
        </is>
      </c>
      <c r="E6" s="70" t="inlineStr">
        <is>
          <t>910-004425</t>
        </is>
      </c>
      <c r="F6" s="70" t="inlineStr">
        <is>
          <t>Negro</t>
        </is>
      </c>
      <c r="G6" s="71" t="inlineStr">
        <is>
          <t>097855124180</t>
        </is>
      </c>
      <c r="H6" s="70" t="inlineStr">
        <is>
          <t>NUEVO</t>
        </is>
      </c>
      <c r="I6" s="72" t="inlineStr">
        <is>
          <t>⚪ Agotado</t>
        </is>
      </c>
      <c r="J6" s="73" t="n">
        <v>0</v>
      </c>
      <c r="K6" s="74" t="n">
        <v>0</v>
      </c>
      <c r="L6" s="70" t="inlineStr">
        <is>
          <t>Vitrina Accesorios</t>
        </is>
      </c>
      <c r="M6" s="75" t="n">
        <v>39705</v>
      </c>
      <c r="N6" s="76" t="n">
        <v>0.1176470588235294</v>
      </c>
      <c r="O6" s="77">
        <f>IF(N6&lt;1, ROUNDUP(M6/(1-N6), -3), M6)</f>
        <v/>
      </c>
      <c r="P6" s="76" t="n">
        <v>0.16</v>
      </c>
      <c r="Q6" s="75">
        <f>IF((1-N6-P6)&gt;0, ROUNDUP((M6+IF(O6&gt;=90000,20000,0))/(1-N6-P6), -3), O6)</f>
        <v/>
      </c>
      <c r="R6" s="75">
        <f>O6</f>
        <v/>
      </c>
      <c r="S6" s="75">
        <f>O6-M6</f>
        <v/>
      </c>
      <c r="T6" s="76">
        <f>IF(O6&gt;0, (O6-M6)/O6, 0)</f>
        <v/>
      </c>
      <c r="U6" s="70" t="inlineStr">
        <is>
          <t>12 Meses Logitech</t>
        </is>
      </c>
      <c r="V6" s="69" t="inlineStr">
        <is>
          <t>IMAGENES DE PRODUCTOS/MOUSE M170 NEGRO LOGITECH.jpg</t>
        </is>
      </c>
      <c r="W6" s="69" t="inlineStr">
        <is>
          <t>Mouse inalámbrico compacto, supercómodo y confiable. Se conecta con un receptor USB miniatura con alcance de hasta 10 metros y su batería dura hasta 1 año completo con una sola pila.</t>
        </is>
      </c>
      <c r="X6" s="69" t="inlineStr"/>
    </row>
    <row r="7" ht="24" customHeight="1" s="52">
      <c r="A7" s="67" t="inlineStr">
        <is>
          <t>MTS-0004</t>
        </is>
      </c>
      <c r="B7" s="68" t="inlineStr">
        <is>
          <t>Router Mercusys MR30G AC1200 Gigabit Dual-Band Wi-Fi (4 Antenas 5dBi)</t>
        </is>
      </c>
      <c r="C7" s="69" t="inlineStr">
        <is>
          <t>Redes y Conectividad</t>
        </is>
      </c>
      <c r="D7" s="69" t="inlineStr">
        <is>
          <t>Mercusys</t>
        </is>
      </c>
      <c r="E7" s="70" t="inlineStr">
        <is>
          <t>MR30G</t>
        </is>
      </c>
      <c r="F7" s="70" t="inlineStr">
        <is>
          <t>Negro</t>
        </is>
      </c>
      <c r="G7" s="71" t="inlineStr">
        <is>
          <t>849439000614</t>
        </is>
      </c>
      <c r="H7" s="70" t="inlineStr">
        <is>
          <t>NUEVO</t>
        </is>
      </c>
      <c r="I7" s="72" t="inlineStr">
        <is>
          <t>⚪ Agotado</t>
        </is>
      </c>
      <c r="J7" s="73" t="n">
        <v>0</v>
      </c>
      <c r="K7" s="74" t="n">
        <v>0</v>
      </c>
      <c r="L7" s="70" t="inlineStr">
        <is>
          <t>Estante C - Redes</t>
        </is>
      </c>
      <c r="M7" s="75" t="n">
        <v>90586</v>
      </c>
      <c r="N7" s="76" t="n">
        <v>0.2122888025113262</v>
      </c>
      <c r="O7" s="77">
        <f>IF(N7&lt;1, ROUNDUP(M7/(1-N7), -3), M7)</f>
        <v/>
      </c>
      <c r="P7" s="76" t="n">
        <v>0.16</v>
      </c>
      <c r="Q7" s="75">
        <f>IF((1-N7-P7)&gt;0, ROUNDUP((M7+IF(O7&gt;=90000,20000,0))/(1-N7-P7), -3), O7)</f>
        <v/>
      </c>
      <c r="R7" s="75">
        <f>O7</f>
        <v/>
      </c>
      <c r="S7" s="75">
        <f>O7-M7</f>
        <v/>
      </c>
      <c r="T7" s="76">
        <f>IF(O7&gt;0, (O7-M7)/O7, 0)</f>
        <v/>
      </c>
      <c r="U7" s="70" t="inlineStr">
        <is>
          <t>24 Meses (2 Años)</t>
        </is>
      </c>
      <c r="V7" s="69" t="inlineStr">
        <is>
          <t>IMAGENES DE PRODUCTOS/Router C1200.jpeg</t>
        </is>
      </c>
      <c r="W7" s="69" t="inlineStr">
        <is>
          <t>Router de alta velocidad con puertos Gigabit para aprovechar al 100% planes de fibra óptica de 100 a 300 Megas. Tiene 4 antenas de buen alcance y transmite en dos bandas (2.4GHz y 5GHz) para que navegues sin cortes.</t>
        </is>
      </c>
      <c r="X7" s="69" t="inlineStr"/>
    </row>
    <row r="8" ht="24" customHeight="1" s="52">
      <c r="A8" s="67" t="inlineStr">
        <is>
          <t>MTS-0005</t>
        </is>
      </c>
      <c r="B8" s="68" t="inlineStr">
        <is>
          <t>Combo Teclado y Mouse Logitech MK120 Alámbrico USB Español Antiderrames</t>
        </is>
      </c>
      <c r="C8" s="69" t="inlineStr">
        <is>
          <t>Periféricos y Accesorios</t>
        </is>
      </c>
      <c r="D8" s="69" t="inlineStr">
        <is>
          <t>Logitech</t>
        </is>
      </c>
      <c r="E8" s="70" t="inlineStr">
        <is>
          <t>920-004428</t>
        </is>
      </c>
      <c r="F8" s="70" t="inlineStr">
        <is>
          <t>Negro</t>
        </is>
      </c>
      <c r="G8" s="71" t="inlineStr">
        <is>
          <t>097855088802</t>
        </is>
      </c>
      <c r="H8" s="70" t="inlineStr">
        <is>
          <t>NUEVO</t>
        </is>
      </c>
      <c r="I8" s="72" t="inlineStr">
        <is>
          <t>🟢 En Stock</t>
        </is>
      </c>
      <c r="J8" s="73" t="n">
        <v>1</v>
      </c>
      <c r="K8" s="74" t="n">
        <v>1</v>
      </c>
      <c r="L8" s="70" t="inlineStr">
        <is>
          <t>Caja 2 - Periféricos</t>
        </is>
      </c>
      <c r="M8" s="75" t="n">
        <v>59921</v>
      </c>
      <c r="N8" s="76" t="n">
        <v>0.1439734853355048</v>
      </c>
      <c r="O8" s="77">
        <f>IF(N8&lt;1, ROUNDUP(M8/(1-N8), -3), M8)</f>
        <v/>
      </c>
      <c r="P8" s="76" t="n">
        <v>0.16</v>
      </c>
      <c r="Q8" s="75">
        <f>IF((1-N8-P8)&gt;0, ROUNDUP((M8+IF(O8&gt;=90000,20000,0))/(1-N8-P8), -3), O8)</f>
        <v/>
      </c>
      <c r="R8" s="75">
        <f>O8</f>
        <v/>
      </c>
      <c r="S8" s="75">
        <f>O8-M8</f>
        <v/>
      </c>
      <c r="T8" s="76">
        <f>IF(O8&gt;0, (O8-M8)/O8, 0)</f>
        <v/>
      </c>
      <c r="U8" s="70" t="inlineStr">
        <is>
          <t>36 Meses (3 Años Logitech)</t>
        </is>
      </c>
      <c r="V8" s="69" t="inlineStr">
        <is>
          <t>IMAGENES DE PRODUCTOS/combo teclado + mouse mk120.webp</t>
        </is>
      </c>
      <c r="W8" s="69" t="inlineStr">
        <is>
          <t>El combo de oficina más duradero y vendido. Teclado con letra Ñ, teclas suaves y silenciosas que no se borran con el uso, resistente a salpicaduras de líquidos, y mouse óptico muy preciso y cómodo. Cuenta con 3 años de garantía oficial.</t>
        </is>
      </c>
      <c r="X8" s="69" t="inlineStr"/>
    </row>
    <row r="9" ht="24" customHeight="1" s="52">
      <c r="A9" s="67" t="inlineStr">
        <is>
          <t>MTS-0006</t>
        </is>
      </c>
      <c r="B9" s="68" t="inlineStr">
        <is>
          <t>Teclado Logitech K120 Alámbrico USB Español Negro Resistente</t>
        </is>
      </c>
      <c r="C9" s="69" t="inlineStr">
        <is>
          <t>Periféricos y Accesorios</t>
        </is>
      </c>
      <c r="D9" s="69" t="inlineStr">
        <is>
          <t>Logitech</t>
        </is>
      </c>
      <c r="E9" s="70" t="inlineStr">
        <is>
          <t>920-004422</t>
        </is>
      </c>
      <c r="F9" s="70" t="inlineStr">
        <is>
          <t>Negro</t>
        </is>
      </c>
      <c r="G9" s="71" t="inlineStr">
        <is>
          <t>097855088741</t>
        </is>
      </c>
      <c r="H9" s="70" t="inlineStr">
        <is>
          <t>NUEVO</t>
        </is>
      </c>
      <c r="I9" s="72" t="inlineStr">
        <is>
          <t>🟢 En Stock</t>
        </is>
      </c>
      <c r="J9" s="73" t="n">
        <v>1</v>
      </c>
      <c r="K9" s="74" t="n">
        <v>1</v>
      </c>
      <c r="L9" s="70" t="inlineStr">
        <is>
          <t>Caja 2 - Periféricos</t>
        </is>
      </c>
      <c r="M9" s="75" t="n">
        <v>43435</v>
      </c>
      <c r="N9" s="76" t="n">
        <v>0.2102583683339697</v>
      </c>
      <c r="O9" s="77">
        <f>IF(N9&lt;1, ROUNDUP(M9/(1-N9), -3), M9)</f>
        <v/>
      </c>
      <c r="P9" s="76" t="n">
        <v>0.16</v>
      </c>
      <c r="Q9" s="75">
        <f>IF((1-N9-P9)&gt;0, ROUNDUP((M9+IF(O9&gt;=90000,20000,0))/(1-N9-P9), -3), O9)</f>
        <v/>
      </c>
      <c r="R9" s="75">
        <f>O9</f>
        <v/>
      </c>
      <c r="S9" s="75">
        <f>O9-M9</f>
        <v/>
      </c>
      <c r="T9" s="76">
        <f>IF(O9&gt;0, (O9-M9)/O9, 0)</f>
        <v/>
      </c>
      <c r="U9" s="70" t="inlineStr">
        <is>
          <t>24 Meses (2 Años)</t>
        </is>
      </c>
      <c r="V9" s="69" t="inlineStr">
        <is>
          <t>IMAGENES DE PRODUCTOS/teclado usb mk120.webp</t>
        </is>
      </c>
      <c r="W9" s="69" t="inlineStr">
        <is>
          <t>Teclado de tamaño completo con teclado numérico y distribución en español. Fabricado para soportar derrames de líquidos y años de trabajo continuo en oficina o casa sin fallar.</t>
        </is>
      </c>
      <c r="X9" s="69" t="inlineStr"/>
    </row>
    <row r="10" ht="24" customHeight="1" s="52">
      <c r="A10" s="67" t="inlineStr">
        <is>
          <t>MTS-0007</t>
        </is>
      </c>
      <c r="B10" s="68" t="inlineStr">
        <is>
          <t>Mouse Óptico Logitech B100 USB 800 DPI con Cable Negro</t>
        </is>
      </c>
      <c r="C10" s="69" t="inlineStr">
        <is>
          <t>Periféricos y Accesorios</t>
        </is>
      </c>
      <c r="D10" s="69" t="inlineStr">
        <is>
          <t>Logitech</t>
        </is>
      </c>
      <c r="E10" s="70" t="inlineStr">
        <is>
          <t>910-001439</t>
        </is>
      </c>
      <c r="F10" s="70" t="inlineStr">
        <is>
          <t>Negro</t>
        </is>
      </c>
      <c r="G10" s="71" t="inlineStr">
        <is>
          <t>097855014399</t>
        </is>
      </c>
      <c r="H10" s="70" t="inlineStr">
        <is>
          <t>NUEVO</t>
        </is>
      </c>
      <c r="I10" s="72" t="inlineStr">
        <is>
          <t>🟢 En Stock</t>
        </is>
      </c>
      <c r="J10" s="73" t="n">
        <v>1</v>
      </c>
      <c r="K10" s="74" t="n">
        <v>1</v>
      </c>
      <c r="L10" s="70" t="inlineStr">
        <is>
          <t>Caja 2 - Periféricos</t>
        </is>
      </c>
      <c r="M10" s="75" t="n">
        <v>16180</v>
      </c>
      <c r="N10" s="76" t="n">
        <v>0.3527741109644386</v>
      </c>
      <c r="O10" s="77">
        <f>IF(N10&lt;1, ROUNDUP(M10/(1-N10), -3), M10)</f>
        <v/>
      </c>
      <c r="P10" s="76" t="n">
        <v>0.16</v>
      </c>
      <c r="Q10" s="75">
        <f>IF((1-N10-P10)&gt;0, ROUNDUP((M10+IF(O10&gt;=90000,20000,0))/(1-N10-P10), -3), O10)</f>
        <v/>
      </c>
      <c r="R10" s="75">
        <f>O10</f>
        <v/>
      </c>
      <c r="S10" s="75">
        <f>O10-M10</f>
        <v/>
      </c>
      <c r="T10" s="76">
        <f>IF(O10&gt;0, (O10-M10)/O10, 0)</f>
        <v/>
      </c>
      <c r="U10" s="70" t="inlineStr">
        <is>
          <t>36 Meses (3 Años)</t>
        </is>
      </c>
      <c r="V10" s="69" t="inlineStr">
        <is>
          <t>IMAGENES DE PRODUCTOS/Mouse USB B100 Logitech.webp</t>
        </is>
      </c>
      <c r="W10" s="69" t="inlineStr">
        <is>
          <t>Mouse con cable USB clásico de Logitech, superpreciso, cómodo para cualquier tamaño de mano y con 3 años de garantía oficial.</t>
        </is>
      </c>
      <c r="X10" s="69" t="inlineStr"/>
    </row>
    <row r="11" ht="24" customHeight="1" s="52">
      <c r="A11" s="67" t="inlineStr">
        <is>
          <t>MTS-0008</t>
        </is>
      </c>
      <c r="B11" s="68" t="inlineStr">
        <is>
          <t>Cargador para Portátil Lenovo Yoga 65W 20V 3.25A Conector USB PIN</t>
        </is>
      </c>
      <c r="C11" s="69" t="inlineStr">
        <is>
          <t>Cargadores y Fuentes</t>
        </is>
      </c>
      <c r="D11" s="69" t="inlineStr">
        <is>
          <t>Marinansa</t>
        </is>
      </c>
      <c r="E11" s="70" t="inlineStr">
        <is>
          <t>USB-PIN-65W</t>
        </is>
      </c>
      <c r="F11" s="70" t="inlineStr">
        <is>
          <t>Negro</t>
        </is>
      </c>
      <c r="G11" s="71" t="inlineStr">
        <is>
          <t>202404GW140042</t>
        </is>
      </c>
      <c r="H11" s="70" t="inlineStr">
        <is>
          <t>NUEVO</t>
        </is>
      </c>
      <c r="I11" s="72" t="inlineStr">
        <is>
          <t>🟢 En Stock</t>
        </is>
      </c>
      <c r="J11" s="73" t="n">
        <v>1</v>
      </c>
      <c r="K11" s="74" t="n">
        <v>1</v>
      </c>
      <c r="L11" s="70" t="inlineStr">
        <is>
          <t>Caja 1 - Cargadores</t>
        </is>
      </c>
      <c r="M11" s="75" t="n">
        <v>45000</v>
      </c>
      <c r="N11" s="76" t="n">
        <v>0.2499874997916632</v>
      </c>
      <c r="O11" s="77">
        <f>IF(N11&lt;1, ROUNDUP(M11/(1-N11), -3), M11)</f>
        <v/>
      </c>
      <c r="P11" s="76" t="n">
        <v>0.16</v>
      </c>
      <c r="Q11" s="75">
        <f>IF((1-N11-P11)&gt;0, ROUNDUP((M11+IF(O11&gt;=90000,20000,0))/(1-N11-P11), -3), O11)</f>
        <v/>
      </c>
      <c r="R11" s="75">
        <f>O11</f>
        <v/>
      </c>
      <c r="S11" s="75">
        <f>O11-M11</f>
        <v/>
      </c>
      <c r="T11" s="76">
        <f>IF(O11&gt;0, (O11-M11)/O11, 0)</f>
        <v/>
      </c>
      <c r="U11" s="70" t="inlineStr">
        <is>
          <t>6 Meses de Garantía</t>
        </is>
      </c>
      <c r="V11" s="69" t="inlineStr">
        <is>
          <t>IMAGENES DE PRODUCTOS/Cargador UBS PIN 20v 3.25A.PNG</t>
        </is>
      </c>
      <c r="W11" s="69" t="inlineStr">
        <is>
          <t>Cargador de 65W (20V a 3.25A) con conector rectangular amarillo USB PIN para laptops Lenovo ThinkPad, IdeaPad y serie Yoga. Incluye su cable de poder.</t>
        </is>
      </c>
      <c r="X11" s="69" t="inlineStr"/>
    </row>
    <row r="12" ht="24" customHeight="1" s="52">
      <c r="A12" s="67" t="inlineStr">
        <is>
          <t>MTS-0009</t>
        </is>
      </c>
      <c r="B12" s="68" t="inlineStr">
        <is>
          <t>Mouse Genius DX-101 Alámbrico Óptico USB 1000 DPI Negro</t>
        </is>
      </c>
      <c r="C12" s="69" t="inlineStr">
        <is>
          <t>Periféricos y Accesorios</t>
        </is>
      </c>
      <c r="D12" s="69" t="inlineStr">
        <is>
          <t>Genius</t>
        </is>
      </c>
      <c r="E12" s="70" t="inlineStr">
        <is>
          <t>31010026400</t>
        </is>
      </c>
      <c r="F12" s="70" t="inlineStr">
        <is>
          <t>Negro</t>
        </is>
      </c>
      <c r="G12" s="71" t="inlineStr">
        <is>
          <t>4710268254218</t>
        </is>
      </c>
      <c r="H12" s="70" t="inlineStr">
        <is>
          <t>NUEVO</t>
        </is>
      </c>
      <c r="I12" s="72" t="inlineStr">
        <is>
          <t>🟢 En Stock</t>
        </is>
      </c>
      <c r="J12" s="73" t="n">
        <v>1</v>
      </c>
      <c r="K12" s="74" t="n">
        <v>1</v>
      </c>
      <c r="L12" s="70" t="inlineStr">
        <is>
          <t>Caja 2 - Periféricos</t>
        </is>
      </c>
      <c r="M12" s="75" t="n">
        <v>10948</v>
      </c>
      <c r="N12" s="76" t="n">
        <v>0.2700846723114875</v>
      </c>
      <c r="O12" s="77">
        <f>IF(N12&lt;1, ROUNDUP(M12/(1-N12), -3), M12)</f>
        <v/>
      </c>
      <c r="P12" s="76" t="n">
        <v>0.16</v>
      </c>
      <c r="Q12" s="75">
        <f>IF((1-N12-P12)&gt;0, ROUNDUP((M12+IF(O12&gt;=90000,20000,0))/(1-N12-P12), -3), O12)</f>
        <v/>
      </c>
      <c r="R12" s="75">
        <f>O12</f>
        <v/>
      </c>
      <c r="S12" s="75">
        <f>O12-M12</f>
        <v/>
      </c>
      <c r="T12" s="76">
        <f>IF(O12&gt;0, (O12-M12)/O12, 0)</f>
        <v/>
      </c>
      <c r="U12" s="70" t="inlineStr">
        <is>
          <t>12 Meses</t>
        </is>
      </c>
      <c r="V12" s="69" t="inlineStr">
        <is>
          <t>IMAGENES DE PRODUCTOS/MOUSE DX-101.webp</t>
        </is>
      </c>
      <c r="W12" s="69" t="inlineStr">
        <is>
          <t>Mouse óptico de cable USB, sencillo, ergonómico y muy económico para uso diario en el hogar o trabajo.</t>
        </is>
      </c>
      <c r="X12" s="69" t="inlineStr"/>
    </row>
    <row r="13" ht="24" customHeight="1" s="52">
      <c r="A13" s="67" t="inlineStr">
        <is>
          <t>MTS-0010</t>
        </is>
      </c>
      <c r="B13" s="68" t="inlineStr">
        <is>
          <t>Funda Protectora Doble Faz para Portátil 14" - 15.6" Neopreno</t>
        </is>
      </c>
      <c r="C13" s="69" t="inlineStr">
        <is>
          <t>Accesorios y Fundas</t>
        </is>
      </c>
      <c r="D13" s="69" t="inlineStr">
        <is>
          <t>Genérica</t>
        </is>
      </c>
      <c r="E13" s="70" t="inlineStr">
        <is>
          <t>JRG01</t>
        </is>
      </c>
      <c r="F13" s="70" t="inlineStr">
        <is>
          <t>Negro / Rojo</t>
        </is>
      </c>
      <c r="G13" s="71" t="inlineStr"/>
      <c r="H13" s="70" t="inlineStr">
        <is>
          <t>NUEVO</t>
        </is>
      </c>
      <c r="I13" s="72" t="inlineStr">
        <is>
          <t>🟢 En Stock</t>
        </is>
      </c>
      <c r="J13" s="73" t="n">
        <v>3</v>
      </c>
      <c r="K13" s="74" t="n">
        <v>3</v>
      </c>
      <c r="L13" s="70" t="inlineStr">
        <is>
          <t>Vitrina Accesorios</t>
        </is>
      </c>
      <c r="M13" s="75" t="n">
        <v>12000</v>
      </c>
      <c r="N13" s="76" t="n">
        <v>0.15</v>
      </c>
      <c r="O13" s="77">
        <f>IF(N13&lt;1, ROUNDUP(M13/(1-N13), -3), M13)</f>
        <v/>
      </c>
      <c r="P13" s="76" t="n">
        <v>0.16</v>
      </c>
      <c r="Q13" s="75">
        <f>IF((1-N13-P13)&gt;0, ROUNDUP((M13+IF(O13&gt;=90000,20000,0))/(1-N13-P13), -3), O13)</f>
        <v/>
      </c>
      <c r="R13" s="75">
        <f>O13</f>
        <v/>
      </c>
      <c r="S13" s="75">
        <f>O13-M13</f>
        <v/>
      </c>
      <c r="T13" s="76">
        <f>IF(O13&gt;0, (O13-M13)/O13, 0)</f>
        <v/>
      </c>
      <c r="U13" s="70" t="inlineStr">
        <is>
          <t>1 Mes</t>
        </is>
      </c>
      <c r="V13" s="69" t="inlineStr">
        <is>
          <t>IMAGENES DE PRODUCTOS/FUNDA PARA PORTATIL.webp</t>
        </is>
      </c>
      <c r="W13" s="69" t="inlineStr">
        <is>
          <t>Funda en neopreno acolchado reversible (negro por un lado y rojo por el otro). Protege tu computador portátil de rayones, golpes leves y polvo dentro de tu morral o bolso.</t>
        </is>
      </c>
      <c r="X13" s="69" t="inlineStr"/>
    </row>
    <row r="14" ht="24" customHeight="1" s="52">
      <c r="A14" s="67" t="inlineStr">
        <is>
          <t>MTS-0011</t>
        </is>
      </c>
      <c r="B14" s="68" t="inlineStr">
        <is>
          <t>Tinta Genérica Epson 524 Gihonclock Negra 127ml (G-524)</t>
        </is>
      </c>
      <c r="C14" s="69" t="inlineStr">
        <is>
          <t>Tintas y Suministros</t>
        </is>
      </c>
      <c r="D14" s="69" t="inlineStr">
        <is>
          <t>Gihonclock</t>
        </is>
      </c>
      <c r="E14" s="70" t="inlineStr">
        <is>
          <t>G-524</t>
        </is>
      </c>
      <c r="F14" s="70" t="inlineStr">
        <is>
          <t>Negro</t>
        </is>
      </c>
      <c r="G14" s="71" t="inlineStr">
        <is>
          <t>8016013040522</t>
        </is>
      </c>
      <c r="H14" s="70" t="inlineStr">
        <is>
          <t>NUEVO</t>
        </is>
      </c>
      <c r="I14" s="72" t="inlineStr">
        <is>
          <t>🟢 En Stock</t>
        </is>
      </c>
      <c r="J14" s="73" t="n">
        <v>2</v>
      </c>
      <c r="K14" s="74" t="n">
        <v>2</v>
      </c>
      <c r="L14" s="70" t="inlineStr">
        <is>
          <t>Estante Tintas - Nivel 1</t>
        </is>
      </c>
      <c r="M14" s="75" t="n">
        <v>25000</v>
      </c>
      <c r="N14" s="76" t="n">
        <v>0.4444320984910776</v>
      </c>
      <c r="O14" s="77">
        <f>IF(N14&lt;1, ROUNDUP(M14/(1-N14), -3), M14)</f>
        <v/>
      </c>
      <c r="P14" s="76" t="n">
        <v>0.16</v>
      </c>
      <c r="Q14" s="75">
        <f>IF((1-N14-P14)&gt;0, ROUNDUP((M14+IF(O14&gt;=90000,20000,0))/(1-N14-P14), -3), O14)</f>
        <v/>
      </c>
      <c r="R14" s="75">
        <f>O14</f>
        <v/>
      </c>
      <c r="S14" s="75">
        <f>O14-M14</f>
        <v/>
      </c>
      <c r="T14" s="76">
        <f>IF(O14&gt;0, (O14-M14)/O14, 0)</f>
        <v/>
      </c>
      <c r="U14" s="70" t="inlineStr">
        <is>
          <t>Garantía de Calidad de Impresión</t>
        </is>
      </c>
      <c r="V14" s="69" t="inlineStr">
        <is>
          <t>IMAGENES DE PRODUCTOS/TINTA G-524 NEGRA.PNG</t>
        </is>
      </c>
      <c r="W14" s="69" t="inlineStr">
        <is>
          <t>Botella de tinta genérica de 127ml de alta pigmentación para impresoras Epson EcoTank serie L. Excelente nitidez en textos y documentos.</t>
        </is>
      </c>
      <c r="X14" s="69" t="inlineStr">
        <is>
          <t>Presentación de 127ml.</t>
        </is>
      </c>
    </row>
    <row r="15" ht="24" customHeight="1" s="52">
      <c r="A15" s="67" t="inlineStr">
        <is>
          <t>MTS-0012</t>
        </is>
      </c>
      <c r="B15" s="68" t="inlineStr">
        <is>
          <t>Botella de Tinta Original Canon GI-11 Magenta</t>
        </is>
      </c>
      <c r="C15" s="69" t="inlineStr">
        <is>
          <t>Tintas y Suministros</t>
        </is>
      </c>
      <c r="D15" s="69" t="inlineStr">
        <is>
          <t>Canon</t>
        </is>
      </c>
      <c r="E15" s="70" t="inlineStr">
        <is>
          <t>GI-11M</t>
        </is>
      </c>
      <c r="F15" s="70" t="inlineStr">
        <is>
          <t>Magenta</t>
        </is>
      </c>
      <c r="G15" s="71" t="inlineStr">
        <is>
          <t>013803328400</t>
        </is>
      </c>
      <c r="H15" s="70" t="inlineStr">
        <is>
          <t>NUEVO</t>
        </is>
      </c>
      <c r="I15" s="72" t="inlineStr">
        <is>
          <t>🟢 En Stock</t>
        </is>
      </c>
      <c r="J15" s="73" t="n">
        <v>1</v>
      </c>
      <c r="K15" s="74" t="n">
        <v>1</v>
      </c>
      <c r="L15" s="70" t="inlineStr">
        <is>
          <t>Estante Tintas - Nivel 2</t>
        </is>
      </c>
      <c r="M15" s="75" t="n">
        <v>30000</v>
      </c>
      <c r="N15" s="76" t="n">
        <v>0.3999879997599952</v>
      </c>
      <c r="O15" s="77">
        <f>IF(N15&lt;1, ROUNDUP(M15/(1-N15), -3), M15)</f>
        <v/>
      </c>
      <c r="P15" s="76" t="n">
        <v>0.16</v>
      </c>
      <c r="Q15" s="75">
        <f>IF((1-N15-P15)&gt;0, ROUNDUP((M15+IF(O15&gt;=90000,20000,0))/(1-N15-P15), -3), O15)</f>
        <v/>
      </c>
      <c r="R15" s="75">
        <f>O15</f>
        <v/>
      </c>
      <c r="S15" s="75">
        <f>O15-M15</f>
        <v/>
      </c>
      <c r="T15" s="76">
        <f>IF(O15&gt;0, (O15-M15)/O15, 0)</f>
        <v/>
      </c>
      <c r="U15" s="70" t="inlineStr">
        <is>
          <t>100% Original Canon</t>
        </is>
      </c>
      <c r="V15" s="69" t="inlineStr">
        <is>
          <t>IMAGENES DE PRODUCTOS/TINTA 11M CANON.jpg</t>
        </is>
      </c>
      <c r="W15" s="69" t="inlineStr">
        <is>
          <t>Tinta 100% original Canon GI-11 color Magenta para impresoras de tanque continuo Canon MegaTank (G2160, G3160, etc.). Colores vivos y duraderos sin tapar los cabezales.</t>
        </is>
      </c>
      <c r="X15" s="69" t="inlineStr">
        <is>
          <t>Botella original sellada.</t>
        </is>
      </c>
    </row>
    <row r="16" ht="24" customHeight="1" s="52">
      <c r="A16" s="67" t="inlineStr">
        <is>
          <t>MTS-0013</t>
        </is>
      </c>
      <c r="B16" s="68" t="inlineStr">
        <is>
          <t>Botella de Tinta Original Canon GI-11 Cyan</t>
        </is>
      </c>
      <c r="C16" s="69" t="inlineStr">
        <is>
          <t>Tintas y Suministros</t>
        </is>
      </c>
      <c r="D16" s="69" t="inlineStr">
        <is>
          <t>Canon</t>
        </is>
      </c>
      <c r="E16" s="70" t="inlineStr">
        <is>
          <t>GI-11C</t>
        </is>
      </c>
      <c r="F16" s="70" t="inlineStr">
        <is>
          <t>Cyan</t>
        </is>
      </c>
      <c r="G16" s="71" t="inlineStr">
        <is>
          <t>013803328394</t>
        </is>
      </c>
      <c r="H16" s="70" t="inlineStr">
        <is>
          <t>NUEVO</t>
        </is>
      </c>
      <c r="I16" s="72" t="inlineStr">
        <is>
          <t>🟢 En Stock</t>
        </is>
      </c>
      <c r="J16" s="73" t="n">
        <v>1</v>
      </c>
      <c r="K16" s="74" t="n">
        <v>1</v>
      </c>
      <c r="L16" s="70" t="inlineStr">
        <is>
          <t>Estante Tintas - Nivel 2</t>
        </is>
      </c>
      <c r="M16" s="75" t="n">
        <v>30000</v>
      </c>
      <c r="N16" s="76" t="n">
        <v>0.3999879997599952</v>
      </c>
      <c r="O16" s="77">
        <f>IF(N16&lt;1, ROUNDUP(M16/(1-N16), -3), M16)</f>
        <v/>
      </c>
      <c r="P16" s="76" t="n">
        <v>0.16</v>
      </c>
      <c r="Q16" s="75">
        <f>IF((1-N16-P16)&gt;0, ROUNDUP((M16+IF(O16&gt;=90000,20000,0))/(1-N16-P16), -3), O16)</f>
        <v/>
      </c>
      <c r="R16" s="75">
        <f>O16</f>
        <v/>
      </c>
      <c r="S16" s="75">
        <f>O16-M16</f>
        <v/>
      </c>
      <c r="T16" s="76">
        <f>IF(O16&gt;0, (O16-M16)/O16, 0)</f>
        <v/>
      </c>
      <c r="U16" s="70" t="inlineStr">
        <is>
          <t>100% Original Canon</t>
        </is>
      </c>
      <c r="V16" s="69" t="inlineStr">
        <is>
          <t>IMAGENES DE PRODUCTOS/TINTA 11C CANON.jpg</t>
        </is>
      </c>
      <c r="W16" s="69" t="inlineStr">
        <is>
          <t>Tinta original Canon GI-11 color Cyan para impresoras MegaTank. Máxima fidelidad en impresiones a color.</t>
        </is>
      </c>
      <c r="X16" s="69" t="inlineStr">
        <is>
          <t>Original sellada.</t>
        </is>
      </c>
    </row>
    <row r="17" ht="24" customHeight="1" s="52">
      <c r="A17" s="67" t="inlineStr">
        <is>
          <t>MTS-0014</t>
        </is>
      </c>
      <c r="B17" s="68" t="inlineStr">
        <is>
          <t>Botella de Tinta Original Canon GI-11 Amarillo</t>
        </is>
      </c>
      <c r="C17" s="69" t="inlineStr">
        <is>
          <t>Tintas y Suministros</t>
        </is>
      </c>
      <c r="D17" s="69" t="inlineStr">
        <is>
          <t>Canon</t>
        </is>
      </c>
      <c r="E17" s="70" t="inlineStr">
        <is>
          <t>GI-11Y</t>
        </is>
      </c>
      <c r="F17" s="70" t="inlineStr">
        <is>
          <t>Amarillo</t>
        </is>
      </c>
      <c r="G17" s="71" t="inlineStr">
        <is>
          <t>013803328417</t>
        </is>
      </c>
      <c r="H17" s="70" t="inlineStr">
        <is>
          <t>NUEVO</t>
        </is>
      </c>
      <c r="I17" s="72" t="inlineStr">
        <is>
          <t>🟢 En Stock</t>
        </is>
      </c>
      <c r="J17" s="73" t="n">
        <v>1</v>
      </c>
      <c r="K17" s="74" t="n">
        <v>1</v>
      </c>
      <c r="L17" s="70" t="inlineStr">
        <is>
          <t>Estante Tintas - Nivel 2</t>
        </is>
      </c>
      <c r="M17" s="75" t="n">
        <v>30000</v>
      </c>
      <c r="N17" s="76" t="n">
        <v>0.3999879997599952</v>
      </c>
      <c r="O17" s="77">
        <f>IF(N17&lt;1, ROUNDUP(M17/(1-N17), -3), M17)</f>
        <v/>
      </c>
      <c r="P17" s="76" t="n">
        <v>0.16</v>
      </c>
      <c r="Q17" s="75">
        <f>IF((1-N17-P17)&gt;0, ROUNDUP((M17+IF(O17&gt;=90000,20000,0))/(1-N17-P17), -3), O17)</f>
        <v/>
      </c>
      <c r="R17" s="75">
        <f>O17</f>
        <v/>
      </c>
      <c r="S17" s="75">
        <f>O17-M17</f>
        <v/>
      </c>
      <c r="T17" s="76">
        <f>IF(O17&gt;0, (O17-M17)/O17, 0)</f>
        <v/>
      </c>
      <c r="U17" s="70" t="inlineStr">
        <is>
          <t>100% Original Canon</t>
        </is>
      </c>
      <c r="V17" s="69" t="inlineStr">
        <is>
          <t>IMAGENES DE PRODUCTOS/TINTA 11Y CANON.jpg</t>
        </is>
      </c>
      <c r="W17" s="69" t="inlineStr">
        <is>
          <t>Tinta original Canon GI-11 color Amarillo para impresoras MegaTank.</t>
        </is>
      </c>
      <c r="X17" s="69" t="inlineStr">
        <is>
          <t>Original sellada.</t>
        </is>
      </c>
    </row>
    <row r="18" ht="24" customHeight="1" s="52">
      <c r="A18" s="67" t="inlineStr">
        <is>
          <t>MTS-0015</t>
        </is>
      </c>
      <c r="B18" s="68" t="inlineStr">
        <is>
          <t>Botella de Tinta Original Canon GI-190 Amarillo</t>
        </is>
      </c>
      <c r="C18" s="69" t="inlineStr">
        <is>
          <t>Tintas y Suministros</t>
        </is>
      </c>
      <c r="D18" s="69" t="inlineStr">
        <is>
          <t>Canon</t>
        </is>
      </c>
      <c r="E18" s="70" t="inlineStr">
        <is>
          <t>GI-190Y</t>
        </is>
      </c>
      <c r="F18" s="70" t="inlineStr">
        <is>
          <t>Amarillo</t>
        </is>
      </c>
      <c r="G18" s="71" t="inlineStr">
        <is>
          <t>013803268232</t>
        </is>
      </c>
      <c r="H18" s="70" t="inlineStr">
        <is>
          <t>NUEVO</t>
        </is>
      </c>
      <c r="I18" s="72" t="inlineStr">
        <is>
          <t>🟢 En Stock</t>
        </is>
      </c>
      <c r="J18" s="73" t="n">
        <v>1</v>
      </c>
      <c r="K18" s="74" t="n">
        <v>1</v>
      </c>
      <c r="L18" s="70" t="inlineStr">
        <is>
          <t>Estante Tintas - Nivel 2</t>
        </is>
      </c>
      <c r="M18" s="75" t="n">
        <v>20000</v>
      </c>
      <c r="N18" s="76" t="n">
        <v>0.3333111103703457</v>
      </c>
      <c r="O18" s="77">
        <f>IF(N18&lt;1, ROUNDUP(M18/(1-N18), -3), M18)</f>
        <v/>
      </c>
      <c r="P18" s="76" t="n">
        <v>0.16</v>
      </c>
      <c r="Q18" s="75">
        <f>IF((1-N18-P18)&gt;0, ROUNDUP((M18+IF(O18&gt;=90000,20000,0))/(1-N18-P18), -3), O18)</f>
        <v/>
      </c>
      <c r="R18" s="75">
        <f>O18</f>
        <v/>
      </c>
      <c r="S18" s="75">
        <f>O18-M18</f>
        <v/>
      </c>
      <c r="T18" s="76">
        <f>IF(O18&gt;0, (O18-M18)/O18, 0)</f>
        <v/>
      </c>
      <c r="U18" s="70" t="inlineStr">
        <is>
          <t>100% Original Canon</t>
        </is>
      </c>
      <c r="V18" s="69" t="inlineStr">
        <is>
          <t>IMAGENES DE PRODUCTOS/TINTA CANON GI-190 A.jpg</t>
        </is>
      </c>
      <c r="W18" s="69" t="inlineStr">
        <is>
          <t>Tinta original Canon GI-190 Amarilla para impresoras Canon serie G (G2100, G3100, G4100, G2110, G3110).</t>
        </is>
      </c>
      <c r="X18" s="69" t="inlineStr">
        <is>
          <t>Original Canon.</t>
        </is>
      </c>
    </row>
    <row r="19" ht="24" customHeight="1" s="52">
      <c r="A19" s="67" t="inlineStr">
        <is>
          <t>MTS-0016</t>
        </is>
      </c>
      <c r="B19" s="68" t="inlineStr">
        <is>
          <t>Botella de Tinta Original Canon GI-190 Magenta</t>
        </is>
      </c>
      <c r="C19" s="69" t="inlineStr">
        <is>
          <t>Tintas y Suministros</t>
        </is>
      </c>
      <c r="D19" s="69" t="inlineStr">
        <is>
          <t>Canon</t>
        </is>
      </c>
      <c r="E19" s="70" t="inlineStr">
        <is>
          <t>GI-190M</t>
        </is>
      </c>
      <c r="F19" s="70" t="inlineStr">
        <is>
          <t>Magenta</t>
        </is>
      </c>
      <c r="G19" s="71" t="inlineStr">
        <is>
          <t>013803268225</t>
        </is>
      </c>
      <c r="H19" s="70" t="inlineStr">
        <is>
          <t>NUEVO</t>
        </is>
      </c>
      <c r="I19" s="72" t="inlineStr">
        <is>
          <t>🟢 En Stock</t>
        </is>
      </c>
      <c r="J19" s="73" t="n">
        <v>1</v>
      </c>
      <c r="K19" s="74" t="n">
        <v>1</v>
      </c>
      <c r="L19" s="70" t="inlineStr">
        <is>
          <t>Estante Tintas - Nivel 2</t>
        </is>
      </c>
      <c r="M19" s="75" t="n">
        <v>20000</v>
      </c>
      <c r="N19" s="76" t="n">
        <v>0.3333111103703457</v>
      </c>
      <c r="O19" s="77">
        <f>IF(N19&lt;1, ROUNDUP(M19/(1-N19), -3), M19)</f>
        <v/>
      </c>
      <c r="P19" s="76" t="n">
        <v>0.16</v>
      </c>
      <c r="Q19" s="75">
        <f>IF((1-N19-P19)&gt;0, ROUNDUP((M19+IF(O19&gt;=90000,20000,0))/(1-N19-P19), -3), O19)</f>
        <v/>
      </c>
      <c r="R19" s="75">
        <f>O19</f>
        <v/>
      </c>
      <c r="S19" s="75">
        <f>O19-M19</f>
        <v/>
      </c>
      <c r="T19" s="76">
        <f>IF(O19&gt;0, (O19-M19)/O19, 0)</f>
        <v/>
      </c>
      <c r="U19" s="70" t="inlineStr">
        <is>
          <t>100% Original Canon</t>
        </is>
      </c>
      <c r="V19" s="69" t="inlineStr">
        <is>
          <t>IMAGENES DE PRODUCTOS/TINTA CANON GI-190 M.jpg</t>
        </is>
      </c>
      <c r="W19" s="69" t="inlineStr">
        <is>
          <t>Tinta original Canon GI-190 Magenta para impresoras de tanque continuo serie G.</t>
        </is>
      </c>
      <c r="X19" s="69" t="inlineStr">
        <is>
          <t>Original Canon.</t>
        </is>
      </c>
    </row>
    <row r="20" ht="24" customHeight="1" s="52">
      <c r="A20" s="67" t="inlineStr">
        <is>
          <t>MTS-0017</t>
        </is>
      </c>
      <c r="B20" s="68" t="inlineStr">
        <is>
          <t>Botella de Tinta Original Canon GI-190 Negro</t>
        </is>
      </c>
      <c r="C20" s="69" t="inlineStr">
        <is>
          <t>Tintas y Suministros</t>
        </is>
      </c>
      <c r="D20" s="69" t="inlineStr">
        <is>
          <t>Canon</t>
        </is>
      </c>
      <c r="E20" s="70" t="inlineStr">
        <is>
          <t>GI-190B</t>
        </is>
      </c>
      <c r="F20" s="70" t="inlineStr">
        <is>
          <t>Negro</t>
        </is>
      </c>
      <c r="G20" s="71" t="inlineStr">
        <is>
          <t>013803268201</t>
        </is>
      </c>
      <c r="H20" s="70" t="inlineStr">
        <is>
          <t>NUEVO</t>
        </is>
      </c>
      <c r="I20" s="72" t="inlineStr">
        <is>
          <t>🟢 En Stock</t>
        </is>
      </c>
      <c r="J20" s="73" t="n">
        <v>1</v>
      </c>
      <c r="K20" s="74" t="n">
        <v>1</v>
      </c>
      <c r="L20" s="70" t="inlineStr">
        <is>
          <t>Estante Tintas - Nivel 2</t>
        </is>
      </c>
      <c r="M20" s="75" t="n">
        <v>20000</v>
      </c>
      <c r="N20" s="76" t="n">
        <v>0.3333111103703457</v>
      </c>
      <c r="O20" s="77">
        <f>IF(N20&lt;1, ROUNDUP(M20/(1-N20), -3), M20)</f>
        <v/>
      </c>
      <c r="P20" s="76" t="n">
        <v>0.16</v>
      </c>
      <c r="Q20" s="75">
        <f>IF((1-N20-P20)&gt;0, ROUNDUP((M20+IF(O20&gt;=90000,20000,0))/(1-N20-P20), -3), O20)</f>
        <v/>
      </c>
      <c r="R20" s="75">
        <f>O20</f>
        <v/>
      </c>
      <c r="S20" s="75">
        <f>O20-M20</f>
        <v/>
      </c>
      <c r="T20" s="76">
        <f>IF(O20&gt;0, (O20-M20)/O20, 0)</f>
        <v/>
      </c>
      <c r="U20" s="70" t="inlineStr">
        <is>
          <t>100% Original Canon</t>
        </is>
      </c>
      <c r="V20" s="69" t="inlineStr">
        <is>
          <t>IMAGENES DE PRODUCTOS/TINTA CANON GI-190 N.jpg</t>
        </is>
      </c>
      <c r="W20" s="69" t="inlineStr">
        <is>
          <t>Tinta original Canon GI-190 Negra de alta capacidad para impresoras serie G.</t>
        </is>
      </c>
      <c r="X20" s="69" t="inlineStr">
        <is>
          <t>Original Canon.</t>
        </is>
      </c>
    </row>
    <row r="21" ht="24" customHeight="1" s="52">
      <c r="A21" s="67" t="inlineStr">
        <is>
          <t>MTS-0018</t>
        </is>
      </c>
      <c r="B21" s="68" t="inlineStr">
        <is>
          <t>Botella de Tinta Original HP GT52 Amarilla (M0H56AL)</t>
        </is>
      </c>
      <c r="C21" s="69" t="inlineStr">
        <is>
          <t>Tintas y Suministros</t>
        </is>
      </c>
      <c r="D21" s="69" t="inlineStr">
        <is>
          <t>HP</t>
        </is>
      </c>
      <c r="E21" s="70" t="inlineStr">
        <is>
          <t>GT52A / M0H56AL</t>
        </is>
      </c>
      <c r="F21" s="70" t="inlineStr">
        <is>
          <t>Amarillo</t>
        </is>
      </c>
      <c r="G21" s="71" t="inlineStr">
        <is>
          <t>190780132562</t>
        </is>
      </c>
      <c r="H21" s="70" t="inlineStr">
        <is>
          <t>NUEVO</t>
        </is>
      </c>
      <c r="I21" s="72" t="inlineStr">
        <is>
          <t>🟢 En Stock</t>
        </is>
      </c>
      <c r="J21" s="73" t="n">
        <v>1</v>
      </c>
      <c r="K21" s="74" t="n">
        <v>1</v>
      </c>
      <c r="L21" s="70" t="inlineStr">
        <is>
          <t>Estante Tintas - Nivel 3</t>
        </is>
      </c>
      <c r="M21" s="75" t="n">
        <v>20000</v>
      </c>
      <c r="N21" s="76" t="n">
        <v>0.3333111103703457</v>
      </c>
      <c r="O21" s="77">
        <f>IF(N21&lt;1, ROUNDUP(M21/(1-N21), -3), M21)</f>
        <v/>
      </c>
      <c r="P21" s="76" t="n">
        <v>0.16</v>
      </c>
      <c r="Q21" s="75">
        <f>IF((1-N21-P21)&gt;0, ROUNDUP((M21+IF(O21&gt;=90000,20000,0))/(1-N21-P21), -3), O21)</f>
        <v/>
      </c>
      <c r="R21" s="75">
        <f>O21</f>
        <v/>
      </c>
      <c r="S21" s="75">
        <f>O21-M21</f>
        <v/>
      </c>
      <c r="T21" s="76">
        <f>IF(O21&gt;0, (O21-M21)/O21, 0)</f>
        <v/>
      </c>
      <c r="U21" s="70" t="inlineStr">
        <is>
          <t>100% Original HP</t>
        </is>
      </c>
      <c r="V21" s="69" t="inlineStr">
        <is>
          <t>IMAGENES DE PRODUCTOS/Tinta HP GT52 A.jpg</t>
        </is>
      </c>
      <c r="W21" s="69" t="inlineStr">
        <is>
          <t>Tinta original HP GT52 Amarilla para impresoras HP Ink Tank y Smart Tank (series 115, 315, 415, 515, 615). Rendimiento de hasta 8.000 páginas en color.</t>
        </is>
      </c>
      <c r="X21" s="69" t="inlineStr">
        <is>
          <t>Original HP.</t>
        </is>
      </c>
    </row>
    <row r="22" ht="24" customHeight="1" s="52">
      <c r="A22" s="67" t="inlineStr">
        <is>
          <t>MTS-0019</t>
        </is>
      </c>
      <c r="B22" s="68" t="inlineStr">
        <is>
          <t>Botella de Tinta Original HP GT52 Cian (M0H54AL)</t>
        </is>
      </c>
      <c r="C22" s="69" t="inlineStr">
        <is>
          <t>Tintas y Suministros</t>
        </is>
      </c>
      <c r="D22" s="69" t="inlineStr">
        <is>
          <t>HP</t>
        </is>
      </c>
      <c r="E22" s="70" t="inlineStr">
        <is>
          <t>GT52C / M0H54AL</t>
        </is>
      </c>
      <c r="F22" s="70" t="inlineStr">
        <is>
          <t>Cyan</t>
        </is>
      </c>
      <c r="G22" s="71" t="inlineStr">
        <is>
          <t>190780132562</t>
        </is>
      </c>
      <c r="H22" s="70" t="inlineStr">
        <is>
          <t>NUEVO</t>
        </is>
      </c>
      <c r="I22" s="72" t="inlineStr">
        <is>
          <t>🟢 En Stock</t>
        </is>
      </c>
      <c r="J22" s="73" t="n">
        <v>1</v>
      </c>
      <c r="K22" s="74" t="n">
        <v>1</v>
      </c>
      <c r="L22" s="70" t="inlineStr">
        <is>
          <t>Estante Tintas - Nivel 3</t>
        </is>
      </c>
      <c r="M22" s="75" t="n">
        <v>20000</v>
      </c>
      <c r="N22" s="76" t="n">
        <v>0.3333111103703457</v>
      </c>
      <c r="O22" s="77">
        <f>IF(N22&lt;1, ROUNDUP(M22/(1-N22), -3), M22)</f>
        <v/>
      </c>
      <c r="P22" s="76" t="n">
        <v>0.16</v>
      </c>
      <c r="Q22" s="75">
        <f>IF((1-N22-P22)&gt;0, ROUNDUP((M22+IF(O22&gt;=90000,20000,0))/(1-N22-P22), -3), O22)</f>
        <v/>
      </c>
      <c r="R22" s="75">
        <f>O22</f>
        <v/>
      </c>
      <c r="S22" s="75">
        <f>O22-M22</f>
        <v/>
      </c>
      <c r="T22" s="76">
        <f>IF(O22&gt;0, (O22-M22)/O22, 0)</f>
        <v/>
      </c>
      <c r="U22" s="70" t="inlineStr">
        <is>
          <t>100% Original HP</t>
        </is>
      </c>
      <c r="V22" s="69" t="inlineStr">
        <is>
          <t>IMAGENES DE PRODUCTOS/Tinta HP GT52 C.png</t>
        </is>
      </c>
      <c r="W22" s="69" t="inlineStr">
        <is>
          <t>Tinta original HP GT52 color Cian para impresoras HP Ink Tank y Smart Tank.</t>
        </is>
      </c>
      <c r="X22" s="69" t="inlineStr">
        <is>
          <t>Original HP.</t>
        </is>
      </c>
    </row>
    <row r="23" ht="24" customHeight="1" s="52">
      <c r="A23" s="67" t="inlineStr">
        <is>
          <t>MTS-0020</t>
        </is>
      </c>
      <c r="B23" s="68" t="inlineStr">
        <is>
          <t>Botella de Tinta Original HP GT52 Magenta (M0H55AL)</t>
        </is>
      </c>
      <c r="C23" s="69" t="inlineStr">
        <is>
          <t>Tintas y Suministros</t>
        </is>
      </c>
      <c r="D23" s="69" t="inlineStr">
        <is>
          <t>HP</t>
        </is>
      </c>
      <c r="E23" s="70" t="inlineStr">
        <is>
          <t>GT52M / M0H55AL</t>
        </is>
      </c>
      <c r="F23" s="70" t="inlineStr">
        <is>
          <t>Magenta</t>
        </is>
      </c>
      <c r="G23" s="71" t="inlineStr">
        <is>
          <t>190780132562</t>
        </is>
      </c>
      <c r="H23" s="70" t="inlineStr">
        <is>
          <t>NUEVO</t>
        </is>
      </c>
      <c r="I23" s="72" t="inlineStr">
        <is>
          <t>🟢 En Stock</t>
        </is>
      </c>
      <c r="J23" s="73" t="n">
        <v>1</v>
      </c>
      <c r="K23" s="74" t="n">
        <v>1</v>
      </c>
      <c r="L23" s="70" t="inlineStr">
        <is>
          <t>Estante Tintas - Nivel 3</t>
        </is>
      </c>
      <c r="M23" s="75" t="n">
        <v>20000</v>
      </c>
      <c r="N23" s="76" t="n">
        <v>0.3333111103703457</v>
      </c>
      <c r="O23" s="77">
        <f>IF(N23&lt;1, ROUNDUP(M23/(1-N23), -3), M23)</f>
        <v/>
      </c>
      <c r="P23" s="76" t="n">
        <v>0.16</v>
      </c>
      <c r="Q23" s="75">
        <f>IF((1-N23-P23)&gt;0, ROUNDUP((M23+IF(O23&gt;=90000,20000,0))/(1-N23-P23), -3), O23)</f>
        <v/>
      </c>
      <c r="R23" s="75">
        <f>O23</f>
        <v/>
      </c>
      <c r="S23" s="75">
        <f>O23-M23</f>
        <v/>
      </c>
      <c r="T23" s="76">
        <f>IF(O23&gt;0, (O23-M23)/O23, 0)</f>
        <v/>
      </c>
      <c r="U23" s="70" t="inlineStr">
        <is>
          <t>100% Original HP</t>
        </is>
      </c>
      <c r="V23" s="69" t="inlineStr">
        <is>
          <t>IMAGENES DE PRODUCTOS/Tinta HP GT52 M.jpg</t>
        </is>
      </c>
      <c r="W23" s="69" t="inlineStr">
        <is>
          <t>Tinta original HP GT52 color Magenta para impresoras HP Ink Tank y Smart Tank.</t>
        </is>
      </c>
      <c r="X23" s="69" t="inlineStr">
        <is>
          <t>Original HP.</t>
        </is>
      </c>
    </row>
    <row r="24" ht="24" customHeight="1" s="52">
      <c r="A24" s="67" t="inlineStr">
        <is>
          <t>MTS-0021</t>
        </is>
      </c>
      <c r="B24" s="68" t="inlineStr">
        <is>
          <t>Botella de Tinta Original HP GT53 Negra (1VV22AL)</t>
        </is>
      </c>
      <c r="C24" s="69" t="inlineStr">
        <is>
          <t>Tintas y Suministros</t>
        </is>
      </c>
      <c r="D24" s="69" t="inlineStr">
        <is>
          <t>HP</t>
        </is>
      </c>
      <c r="E24" s="70" t="inlineStr">
        <is>
          <t>GT53N / 1VV22AL</t>
        </is>
      </c>
      <c r="F24" s="70" t="inlineStr">
        <is>
          <t>Negro</t>
        </is>
      </c>
      <c r="G24" s="71" t="inlineStr">
        <is>
          <t>190780132562</t>
        </is>
      </c>
      <c r="H24" s="70" t="inlineStr">
        <is>
          <t>NUEVO</t>
        </is>
      </c>
      <c r="I24" s="72" t="inlineStr">
        <is>
          <t>🟢 En Stock</t>
        </is>
      </c>
      <c r="J24" s="73" t="n">
        <v>1</v>
      </c>
      <c r="K24" s="74" t="n">
        <v>1</v>
      </c>
      <c r="L24" s="70" t="inlineStr">
        <is>
          <t>Estante Tintas - Nivel 3</t>
        </is>
      </c>
      <c r="M24" s="75" t="n">
        <v>20000</v>
      </c>
      <c r="N24" s="76" t="n">
        <v>0.3333111103703457</v>
      </c>
      <c r="O24" s="77">
        <f>IF(N24&lt;1, ROUNDUP(M24/(1-N24), -3), M24)</f>
        <v/>
      </c>
      <c r="P24" s="76" t="n">
        <v>0.16</v>
      </c>
      <c r="Q24" s="75">
        <f>IF((1-N24-P24)&gt;0, ROUNDUP((M24+IF(O24&gt;=90000,20000,0))/(1-N24-P24), -3), O24)</f>
        <v/>
      </c>
      <c r="R24" s="75">
        <f>O24</f>
        <v/>
      </c>
      <c r="S24" s="75">
        <f>O24-M24</f>
        <v/>
      </c>
      <c r="T24" s="76">
        <f>IF(O24&gt;0, (O24-M24)/O24, 0)</f>
        <v/>
      </c>
      <c r="U24" s="70" t="inlineStr">
        <is>
          <t>100% Original HP</t>
        </is>
      </c>
      <c r="V24" s="69" t="inlineStr">
        <is>
          <t>IMAGENES DE PRODUCTOS/Tinta HP GT53 N.jpg</t>
        </is>
      </c>
      <c r="W24" s="69" t="inlineStr">
        <is>
          <t>Tinta original HP GT53 Negra con fórmula pigmentada para textos negros ultranítidos y resistentes al agua. Rinde hasta 6.000 páginas.</t>
        </is>
      </c>
      <c r="X24" s="69" t="inlineStr">
        <is>
          <t>Original HP.</t>
        </is>
      </c>
    </row>
    <row r="25" ht="24" customHeight="1" s="52">
      <c r="A25" s="67" t="inlineStr">
        <is>
          <t>MTS-0022</t>
        </is>
      </c>
      <c r="B25" s="68" t="inlineStr">
        <is>
          <t>Botella de Tinta Original Epson T504 Cian (T504220-AL)</t>
        </is>
      </c>
      <c r="C25" s="69" t="inlineStr">
        <is>
          <t>Tintas y Suministros</t>
        </is>
      </c>
      <c r="D25" s="69" t="inlineStr">
        <is>
          <t>Epson</t>
        </is>
      </c>
      <c r="E25" s="70" t="inlineStr">
        <is>
          <t>T504220-AL</t>
        </is>
      </c>
      <c r="F25" s="70" t="inlineStr">
        <is>
          <t>Cyan</t>
        </is>
      </c>
      <c r="G25" s="71" t="inlineStr">
        <is>
          <t>010343938755</t>
        </is>
      </c>
      <c r="H25" s="70" t="inlineStr">
        <is>
          <t>NUEVO</t>
        </is>
      </c>
      <c r="I25" s="72" t="inlineStr">
        <is>
          <t>🟢 En Stock</t>
        </is>
      </c>
      <c r="J25" s="73" t="n">
        <v>2</v>
      </c>
      <c r="K25" s="74" t="n">
        <v>1</v>
      </c>
      <c r="L25" s="70" t="inlineStr">
        <is>
          <t>Estante Tintas - Nivel 4</t>
        </is>
      </c>
      <c r="M25" s="75" t="n">
        <v>20000</v>
      </c>
      <c r="N25" s="76" t="n">
        <v>0.3333111103703457</v>
      </c>
      <c r="O25" s="77">
        <f>IF(N25&lt;1, ROUNDUP(M25/(1-N25), -3), M25)</f>
        <v/>
      </c>
      <c r="P25" s="76" t="n">
        <v>0.16</v>
      </c>
      <c r="Q25" s="75">
        <f>IF((1-N25-P25)&gt;0, ROUNDUP((M25+IF(O25&gt;=90000,20000,0))/(1-N25-P25), -3), O25)</f>
        <v/>
      </c>
      <c r="R25" s="75">
        <f>O25</f>
        <v/>
      </c>
      <c r="S25" s="75">
        <f>O25-M25</f>
        <v/>
      </c>
      <c r="T25" s="76">
        <f>IF(O25&gt;0, (O25-M25)/O25, 0)</f>
        <v/>
      </c>
      <c r="U25" s="70" t="inlineStr">
        <is>
          <t>100% Original Epson</t>
        </is>
      </c>
      <c r="V25" s="69" t="inlineStr">
        <is>
          <t>IMAGENES DE PRODUCTOS/T504220-AL.jpg</t>
        </is>
      </c>
      <c r="W25" s="69" t="inlineStr">
        <is>
          <t>Tinta original Epson T504 Cian con sistema de llenado automático Ecofit (libre de derrames) para impresoras EcoTank L4150, L4160, L6161, L6171, L6191.</t>
        </is>
      </c>
      <c r="X25" s="69" t="inlineStr">
        <is>
          <t>Sistema Ecofit.</t>
        </is>
      </c>
    </row>
    <row r="26" ht="24" customHeight="1" s="52">
      <c r="A26" s="67" t="inlineStr">
        <is>
          <t>MTS-0023</t>
        </is>
      </c>
      <c r="B26" s="68" t="inlineStr">
        <is>
          <t>Botella de Tinta Original Epson T504 Amarilla (T504420-AL)</t>
        </is>
      </c>
      <c r="C26" s="69" t="inlineStr">
        <is>
          <t>Tintas y Suministros</t>
        </is>
      </c>
      <c r="D26" s="69" t="inlineStr">
        <is>
          <t>Epson</t>
        </is>
      </c>
      <c r="E26" s="70" t="inlineStr">
        <is>
          <t>T504420-AL</t>
        </is>
      </c>
      <c r="F26" s="70" t="inlineStr">
        <is>
          <t>Amarillo</t>
        </is>
      </c>
      <c r="G26" s="71" t="inlineStr">
        <is>
          <t>010343938779</t>
        </is>
      </c>
      <c r="H26" s="70" t="inlineStr">
        <is>
          <t>NUEVO</t>
        </is>
      </c>
      <c r="I26" s="72" t="inlineStr">
        <is>
          <t>⚪ Agotado</t>
        </is>
      </c>
      <c r="J26" s="73" t="n">
        <v>0</v>
      </c>
      <c r="K26" s="74" t="n">
        <v>1</v>
      </c>
      <c r="L26" s="70" t="inlineStr">
        <is>
          <t>Estante Tintas - Nivel 4</t>
        </is>
      </c>
      <c r="M26" s="75" t="n">
        <v>20000</v>
      </c>
      <c r="N26" s="76" t="n">
        <v>0.3333111103703457</v>
      </c>
      <c r="O26" s="77">
        <f>IF(N26&lt;1, ROUNDUP(M26/(1-N26), -3), M26)</f>
        <v/>
      </c>
      <c r="P26" s="76" t="n">
        <v>0.16</v>
      </c>
      <c r="Q26" s="75">
        <f>IF((1-N26-P26)&gt;0, ROUNDUP((M26+IF(O26&gt;=90000,20000,0))/(1-N26-P26), -3), O26)</f>
        <v/>
      </c>
      <c r="R26" s="75">
        <f>O26</f>
        <v/>
      </c>
      <c r="S26" s="75">
        <f>O26-M26</f>
        <v/>
      </c>
      <c r="T26" s="76">
        <f>IF(O26&gt;0, (O26-M26)/O26, 0)</f>
        <v/>
      </c>
      <c r="U26" s="70" t="inlineStr">
        <is>
          <t>100% Original Epson</t>
        </is>
      </c>
      <c r="V26" s="69" t="inlineStr">
        <is>
          <t>IMAGENES DE PRODUCTOS/T504420-AL.jpg</t>
        </is>
      </c>
      <c r="W26" s="69" t="inlineStr">
        <is>
          <t>Tinta original Epson T504 Amarilla para impresoras EcoTank con boquilla especial antirrames.</t>
        </is>
      </c>
      <c r="X26" s="69" t="inlineStr">
        <is>
          <t>Original Epson.</t>
        </is>
      </c>
    </row>
    <row r="27" ht="24" customHeight="1" s="52">
      <c r="A27" s="67" t="inlineStr">
        <is>
          <t>MTS-0024</t>
        </is>
      </c>
      <c r="B27" s="68" t="inlineStr">
        <is>
          <t>Botella de Tinta Original Epson T504 Negra 127ml (T504120-AL)</t>
        </is>
      </c>
      <c r="C27" s="69" t="inlineStr">
        <is>
          <t>Tintas y Suministros</t>
        </is>
      </c>
      <c r="D27" s="69" t="inlineStr">
        <is>
          <t>Epson</t>
        </is>
      </c>
      <c r="E27" s="70" t="inlineStr">
        <is>
          <t>T504120-AL</t>
        </is>
      </c>
      <c r="F27" s="70" t="inlineStr">
        <is>
          <t>Negro</t>
        </is>
      </c>
      <c r="G27" s="71" t="inlineStr">
        <is>
          <t>010343938748</t>
        </is>
      </c>
      <c r="H27" s="70" t="inlineStr">
        <is>
          <t>NUEVO</t>
        </is>
      </c>
      <c r="I27" s="72" t="inlineStr">
        <is>
          <t>⚪ Agotado</t>
        </is>
      </c>
      <c r="J27" s="73" t="n">
        <v>0</v>
      </c>
      <c r="K27" s="74" t="n">
        <v>1</v>
      </c>
      <c r="L27" s="70" t="inlineStr">
        <is>
          <t>Estante Tintas - Nivel 4</t>
        </is>
      </c>
      <c r="M27" s="75" t="n">
        <v>20000</v>
      </c>
      <c r="N27" s="76" t="n">
        <v>0.3333111103703457</v>
      </c>
      <c r="O27" s="77">
        <f>IF(N27&lt;1, ROUNDUP(M27/(1-N27), -3), M27)</f>
        <v/>
      </c>
      <c r="P27" s="76" t="n">
        <v>0.16</v>
      </c>
      <c r="Q27" s="75">
        <f>IF((1-N27-P27)&gt;0, ROUNDUP((M27+IF(O27&gt;=90000,20000,0))/(1-N27-P27), -3), O27)</f>
        <v/>
      </c>
      <c r="R27" s="75">
        <f>O27</f>
        <v/>
      </c>
      <c r="S27" s="75">
        <f>O27-M27</f>
        <v/>
      </c>
      <c r="T27" s="76">
        <f>IF(O27&gt;0, (O27-M27)/O27, 0)</f>
        <v/>
      </c>
      <c r="U27" s="70" t="inlineStr">
        <is>
          <t>100% Original Epson</t>
        </is>
      </c>
      <c r="V27" s="69" t="inlineStr">
        <is>
          <t>IMAGENES DE PRODUCTOS/T504120-AL.jpg</t>
        </is>
      </c>
      <c r="W27" s="69" t="inlineStr">
        <is>
          <t>Tinta original Epson T504 Negra de 127ml con tinta pigmentada para documentos profesionales y alta durabilidad.</t>
        </is>
      </c>
      <c r="X27" s="69" t="inlineStr">
        <is>
          <t>Presentación 127ml.</t>
        </is>
      </c>
    </row>
    <row r="28" ht="24" customHeight="1" s="52">
      <c r="A28" s="67" t="inlineStr">
        <is>
          <t>MTS-0025</t>
        </is>
      </c>
      <c r="B28" s="68" t="inlineStr">
        <is>
          <t>Botella de Tinta Original Epson 664 Cyan (T664220)</t>
        </is>
      </c>
      <c r="C28" s="69" t="inlineStr">
        <is>
          <t>Tintas y Suministros</t>
        </is>
      </c>
      <c r="D28" s="69" t="inlineStr">
        <is>
          <t>Epson</t>
        </is>
      </c>
      <c r="E28" s="70" t="inlineStr">
        <is>
          <t>T664220</t>
        </is>
      </c>
      <c r="F28" s="70" t="inlineStr">
        <is>
          <t>Cyan</t>
        </is>
      </c>
      <c r="G28" s="71" t="inlineStr">
        <is>
          <t>010343885301</t>
        </is>
      </c>
      <c r="H28" s="70" t="inlineStr">
        <is>
          <t>NUEVO</t>
        </is>
      </c>
      <c r="I28" s="72" t="inlineStr">
        <is>
          <t>🟢 En Stock</t>
        </is>
      </c>
      <c r="J28" s="73" t="n">
        <v>1</v>
      </c>
      <c r="K28" s="74" t="n">
        <v>1</v>
      </c>
      <c r="L28" s="70" t="inlineStr">
        <is>
          <t>Estante Tintas - Nivel 4</t>
        </is>
      </c>
      <c r="M28" s="75" t="n">
        <v>20000</v>
      </c>
      <c r="N28" s="76" t="n">
        <v>0.3333111103703457</v>
      </c>
      <c r="O28" s="77">
        <f>IF(N28&lt;1, ROUNDUP(M28/(1-N28), -3), M28)</f>
        <v/>
      </c>
      <c r="P28" s="76" t="n">
        <v>0.16</v>
      </c>
      <c r="Q28" s="75">
        <f>IF((1-N28-P28)&gt;0, ROUNDUP((M28+IF(O28&gt;=90000,20000,0))/(1-N28-P28), -3), O28)</f>
        <v/>
      </c>
      <c r="R28" s="75">
        <f>O28</f>
        <v/>
      </c>
      <c r="S28" s="75">
        <f>O28-M28</f>
        <v/>
      </c>
      <c r="T28" s="76">
        <f>IF(O28&gt;0, (O28-M28)/O28, 0)</f>
        <v/>
      </c>
      <c r="U28" s="70" t="inlineStr">
        <is>
          <t>100% Original Epson</t>
        </is>
      </c>
      <c r="V28" s="69" t="inlineStr">
        <is>
          <t>IMAGENES DE PRODUCTOS/T664220.jpg</t>
        </is>
      </c>
      <c r="W28" s="69" t="inlineStr">
        <is>
          <t>Tinta original Epson 664 Cyan para impresoras EcoTank L110, L210, L220, L355, L365, L375, L380, L395, L475, L555, L575.</t>
        </is>
      </c>
      <c r="X28" s="69" t="inlineStr">
        <is>
          <t>Original Epson 664.</t>
        </is>
      </c>
    </row>
    <row r="29" ht="24" customHeight="1" s="52">
      <c r="A29" s="67" t="inlineStr">
        <is>
          <t>MTS-0026</t>
        </is>
      </c>
      <c r="B29" s="68" t="inlineStr">
        <is>
          <t>Botella de Tinta Original Epson 664 Amarilla (T664420)</t>
        </is>
      </c>
      <c r="C29" s="69" t="inlineStr">
        <is>
          <t>Tintas y Suministros</t>
        </is>
      </c>
      <c r="D29" s="69" t="inlineStr">
        <is>
          <t>Epson</t>
        </is>
      </c>
      <c r="E29" s="70" t="inlineStr">
        <is>
          <t>T664420</t>
        </is>
      </c>
      <c r="F29" s="70" t="inlineStr">
        <is>
          <t>Amarillo</t>
        </is>
      </c>
      <c r="G29" s="71" t="inlineStr">
        <is>
          <t>010343885325</t>
        </is>
      </c>
      <c r="H29" s="70" t="inlineStr">
        <is>
          <t>NUEVO</t>
        </is>
      </c>
      <c r="I29" s="72" t="inlineStr">
        <is>
          <t>🟢 En Stock</t>
        </is>
      </c>
      <c r="J29" s="73" t="n">
        <v>1</v>
      </c>
      <c r="K29" s="74" t="n">
        <v>1</v>
      </c>
      <c r="L29" s="70" t="inlineStr">
        <is>
          <t>Estante Tintas - Nivel 4</t>
        </is>
      </c>
      <c r="M29" s="75" t="n">
        <v>20000</v>
      </c>
      <c r="N29" s="76" t="n">
        <v>0.3333111103703457</v>
      </c>
      <c r="O29" s="77">
        <f>IF(N29&lt;1, ROUNDUP(M29/(1-N29), -3), M29)</f>
        <v/>
      </c>
      <c r="P29" s="76" t="n">
        <v>0.16</v>
      </c>
      <c r="Q29" s="75">
        <f>IF((1-N29-P29)&gt;0, ROUNDUP((M29+IF(O29&gt;=90000,20000,0))/(1-N29-P29), -3), O29)</f>
        <v/>
      </c>
      <c r="R29" s="75">
        <f>O29</f>
        <v/>
      </c>
      <c r="S29" s="75">
        <f>O29-M29</f>
        <v/>
      </c>
      <c r="T29" s="76">
        <f>IF(O29&gt;0, (O29-M29)/O29, 0)</f>
        <v/>
      </c>
      <c r="U29" s="70" t="inlineStr">
        <is>
          <t>100% Original Epson</t>
        </is>
      </c>
      <c r="V29" s="69" t="inlineStr">
        <is>
          <t>IMAGENES DE PRODUCTOS/T664420.jpg</t>
        </is>
      </c>
      <c r="W29" s="69" t="inlineStr">
        <is>
          <t>Tinta original Epson 664 Amarilla para impresoras EcoTank.</t>
        </is>
      </c>
      <c r="X29" s="69" t="inlineStr">
        <is>
          <t>Original Epson 664.</t>
        </is>
      </c>
    </row>
    <row r="30" ht="24" customHeight="1" s="52">
      <c r="A30" s="67" t="inlineStr">
        <is>
          <t>MTS-0027</t>
        </is>
      </c>
      <c r="B30" s="68" t="inlineStr">
        <is>
          <t>Botella de Tinta Original Epson 664 Magenta (T664320)</t>
        </is>
      </c>
      <c r="C30" s="69" t="inlineStr">
        <is>
          <t>Tintas y Suministros</t>
        </is>
      </c>
      <c r="D30" s="69" t="inlineStr">
        <is>
          <t>Epson</t>
        </is>
      </c>
      <c r="E30" s="70" t="inlineStr">
        <is>
          <t>T664320</t>
        </is>
      </c>
      <c r="F30" s="70" t="inlineStr">
        <is>
          <t>Magenta</t>
        </is>
      </c>
      <c r="G30" s="71" t="inlineStr">
        <is>
          <t>010343885318</t>
        </is>
      </c>
      <c r="H30" s="70" t="inlineStr">
        <is>
          <t>NUEVO</t>
        </is>
      </c>
      <c r="I30" s="72" t="inlineStr">
        <is>
          <t>🟢 En Stock</t>
        </is>
      </c>
      <c r="J30" s="73" t="n">
        <v>1</v>
      </c>
      <c r="K30" s="74" t="n">
        <v>1</v>
      </c>
      <c r="L30" s="70" t="inlineStr">
        <is>
          <t>Estante Tintas - Nivel 4</t>
        </is>
      </c>
      <c r="M30" s="75" t="n">
        <v>20000</v>
      </c>
      <c r="N30" s="76" t="n">
        <v>0.3333111103703457</v>
      </c>
      <c r="O30" s="77">
        <f>IF(N30&lt;1, ROUNDUP(M30/(1-N30), -3), M30)</f>
        <v/>
      </c>
      <c r="P30" s="76" t="n">
        <v>0.16</v>
      </c>
      <c r="Q30" s="75">
        <f>IF((1-N30-P30)&gt;0, ROUNDUP((M30+IF(O30&gt;=90000,20000,0))/(1-N30-P30), -3), O30)</f>
        <v/>
      </c>
      <c r="R30" s="75">
        <f>O30</f>
        <v/>
      </c>
      <c r="S30" s="75">
        <f>O30-M30</f>
        <v/>
      </c>
      <c r="T30" s="76">
        <f>IF(O30&gt;0, (O30-M30)/O30, 0)</f>
        <v/>
      </c>
      <c r="U30" s="70" t="inlineStr">
        <is>
          <t>100% Original Epson</t>
        </is>
      </c>
      <c r="V30" s="69" t="inlineStr">
        <is>
          <t>IMAGENES DE PRODUCTOS/T664320.jpg</t>
        </is>
      </c>
      <c r="W30" s="69" t="inlineStr">
        <is>
          <t>Tinta original Epson 664 Magenta para impresoras EcoTank.</t>
        </is>
      </c>
      <c r="X30" s="69" t="inlineStr">
        <is>
          <t>Original Epson 664.</t>
        </is>
      </c>
    </row>
    <row r="31" ht="24" customHeight="1" s="52">
      <c r="A31" s="67" t="inlineStr">
        <is>
          <t>MTS-0028</t>
        </is>
      </c>
      <c r="B31" s="68" t="inlineStr">
        <is>
          <t>Botella de Tinta Original Epson 664 Negra 70ml (T664120)</t>
        </is>
      </c>
      <c r="C31" s="69" t="inlineStr">
        <is>
          <t>Tintas y Suministros</t>
        </is>
      </c>
      <c r="D31" s="69" t="inlineStr">
        <is>
          <t>Epson</t>
        </is>
      </c>
      <c r="E31" s="70" t="inlineStr">
        <is>
          <t>T664120</t>
        </is>
      </c>
      <c r="F31" s="70" t="inlineStr">
        <is>
          <t>Negro</t>
        </is>
      </c>
      <c r="G31" s="71" t="inlineStr">
        <is>
          <t>010343885295</t>
        </is>
      </c>
      <c r="H31" s="70" t="inlineStr">
        <is>
          <t>NUEVO</t>
        </is>
      </c>
      <c r="I31" s="72" t="inlineStr">
        <is>
          <t>🟢 En Stock</t>
        </is>
      </c>
      <c r="J31" s="73" t="n">
        <v>1</v>
      </c>
      <c r="K31" s="74" t="n">
        <v>1</v>
      </c>
      <c r="L31" s="70" t="inlineStr">
        <is>
          <t>Estante Tintas - Nivel 4</t>
        </is>
      </c>
      <c r="M31" s="75" t="n">
        <v>20000</v>
      </c>
      <c r="N31" s="76" t="n">
        <v>0.3333111103703457</v>
      </c>
      <c r="O31" s="77">
        <f>IF(N31&lt;1, ROUNDUP(M31/(1-N31), -3), M31)</f>
        <v/>
      </c>
      <c r="P31" s="76" t="n">
        <v>0.16</v>
      </c>
      <c r="Q31" s="75">
        <f>IF((1-N31-P31)&gt;0, ROUNDUP((M31+IF(O31&gt;=90000,20000,0))/(1-N31-P31), -3), O31)</f>
        <v/>
      </c>
      <c r="R31" s="75">
        <f>O31</f>
        <v/>
      </c>
      <c r="S31" s="75">
        <f>O31-M31</f>
        <v/>
      </c>
      <c r="T31" s="76">
        <f>IF(O31&gt;0, (O31-M31)/O31, 0)</f>
        <v/>
      </c>
      <c r="U31" s="70" t="inlineStr">
        <is>
          <t>100% Original Epson</t>
        </is>
      </c>
      <c r="V31" s="69" t="inlineStr">
        <is>
          <t>IMAGENES DE PRODUCTOS/T664120.webp</t>
        </is>
      </c>
      <c r="W31" s="69" t="inlineStr">
        <is>
          <t>Tinta original Epson 664 Negra de 70ml para impresoras EcoTank serie L.</t>
        </is>
      </c>
      <c r="X31" s="69" t="inlineStr">
        <is>
          <t>Original Epson 664.</t>
        </is>
      </c>
    </row>
    <row r="32" ht="24" customHeight="1" s="52">
      <c r="A32" s="67" t="inlineStr">
        <is>
          <t>MTS-0029</t>
        </is>
      </c>
      <c r="B32" s="68" t="inlineStr">
        <is>
          <t>Botella de Tinta Original Epson 544 Cyan (T544220)</t>
        </is>
      </c>
      <c r="C32" s="69" t="inlineStr">
        <is>
          <t>Tintas y Suministros</t>
        </is>
      </c>
      <c r="D32" s="69" t="inlineStr">
        <is>
          <t>Epson</t>
        </is>
      </c>
      <c r="E32" s="70" t="inlineStr">
        <is>
          <t>T544220</t>
        </is>
      </c>
      <c r="F32" s="70" t="inlineStr">
        <is>
          <t>Cyan</t>
        </is>
      </c>
      <c r="G32" s="71" t="inlineStr">
        <is>
          <t>010343941984</t>
        </is>
      </c>
      <c r="H32" s="70" t="inlineStr">
        <is>
          <t>NUEVO</t>
        </is>
      </c>
      <c r="I32" s="72" t="inlineStr">
        <is>
          <t>🟢 En Stock</t>
        </is>
      </c>
      <c r="J32" s="73" t="n">
        <v>1</v>
      </c>
      <c r="K32" s="74" t="n">
        <v>1</v>
      </c>
      <c r="L32" s="70" t="inlineStr">
        <is>
          <t>Estante Tintas - Nivel 4</t>
        </is>
      </c>
      <c r="M32" s="75" t="n">
        <v>20000</v>
      </c>
      <c r="N32" s="76" t="n">
        <v>0.3333111103703457</v>
      </c>
      <c r="O32" s="77">
        <f>IF(N32&lt;1, ROUNDUP(M32/(1-N32), -3), M32)</f>
        <v/>
      </c>
      <c r="P32" s="76" t="n">
        <v>0.16</v>
      </c>
      <c r="Q32" s="75">
        <f>IF((1-N32-P32)&gt;0, ROUNDUP((M32+IF(O32&gt;=90000,20000,0))/(1-N32-P32), -3), O32)</f>
        <v/>
      </c>
      <c r="R32" s="75">
        <f>O32</f>
        <v/>
      </c>
      <c r="S32" s="75">
        <f>O32-M32</f>
        <v/>
      </c>
      <c r="T32" s="76">
        <f>IF(O32&gt;0, (O32-M32)/O32, 0)</f>
        <v/>
      </c>
      <c r="U32" s="70" t="inlineStr">
        <is>
          <t>100% Original Epson</t>
        </is>
      </c>
      <c r="V32" s="69" t="inlineStr">
        <is>
          <t>IMAGENES DE PRODUCTOS/T544220.jpg</t>
        </is>
      </c>
      <c r="W32" s="69" t="inlineStr">
        <is>
          <t>Tinta original Epson 544 Cyan con boquilla inteligente Ecofit para impresoras EcoTank L1110, L1210, L3110, L3150, L3160, L3210, L3250, L5190, L5290.</t>
        </is>
      </c>
      <c r="X32" s="69" t="inlineStr">
        <is>
          <t>Sistema Ecofit 544.</t>
        </is>
      </c>
    </row>
    <row r="33" ht="24" customHeight="1" s="52">
      <c r="A33" s="67" t="inlineStr">
        <is>
          <t>MTS-0030</t>
        </is>
      </c>
      <c r="B33" s="68" t="inlineStr">
        <is>
          <t>Botella de Tinta Original Epson 544 Amarilla (T544420)</t>
        </is>
      </c>
      <c r="C33" s="69" t="inlineStr">
        <is>
          <t>Tintas y Suministros</t>
        </is>
      </c>
      <c r="D33" s="69" t="inlineStr">
        <is>
          <t>Epson</t>
        </is>
      </c>
      <c r="E33" s="70" t="inlineStr">
        <is>
          <t>T544420</t>
        </is>
      </c>
      <c r="F33" s="70" t="inlineStr">
        <is>
          <t>Amarillo</t>
        </is>
      </c>
      <c r="G33" s="71" t="inlineStr">
        <is>
          <t>010343941991</t>
        </is>
      </c>
      <c r="H33" s="70" t="inlineStr">
        <is>
          <t>NUEVO</t>
        </is>
      </c>
      <c r="I33" s="72" t="inlineStr">
        <is>
          <t>🟢 En Stock</t>
        </is>
      </c>
      <c r="J33" s="73" t="n">
        <v>1</v>
      </c>
      <c r="K33" s="74" t="n">
        <v>1</v>
      </c>
      <c r="L33" s="70" t="inlineStr">
        <is>
          <t>Estante Tintas - Nivel 4</t>
        </is>
      </c>
      <c r="M33" s="75" t="n">
        <v>20000</v>
      </c>
      <c r="N33" s="76" t="n">
        <v>0.3333111103703457</v>
      </c>
      <c r="O33" s="77">
        <f>IF(N33&lt;1, ROUNDUP(M33/(1-N33), -3), M33)</f>
        <v/>
      </c>
      <c r="P33" s="76" t="n">
        <v>0.16</v>
      </c>
      <c r="Q33" s="75">
        <f>IF((1-N33-P33)&gt;0, ROUNDUP((M33+IF(O33&gt;=90000,20000,0))/(1-N33-P33), -3), O33)</f>
        <v/>
      </c>
      <c r="R33" s="75">
        <f>O33</f>
        <v/>
      </c>
      <c r="S33" s="75">
        <f>O33-M33</f>
        <v/>
      </c>
      <c r="T33" s="76">
        <f>IF(O33&gt;0, (O33-M33)/O33, 0)</f>
        <v/>
      </c>
      <c r="U33" s="70" t="inlineStr">
        <is>
          <t>100% Original Epson</t>
        </is>
      </c>
      <c r="V33" s="69" t="inlineStr">
        <is>
          <t>IMAGENES DE PRODUCTOS/T544420.jpg</t>
        </is>
      </c>
      <c r="W33" s="69" t="inlineStr">
        <is>
          <t>Tinta original Epson 544 Amarilla para impresoras EcoTank con sistema Ecofit.</t>
        </is>
      </c>
      <c r="X33" s="69" t="inlineStr">
        <is>
          <t>Sistema Ecofit 544.</t>
        </is>
      </c>
    </row>
    <row r="34" ht="24" customHeight="1" s="52">
      <c r="A34" s="67" t="inlineStr">
        <is>
          <t>MTS-0031</t>
        </is>
      </c>
      <c r="B34" s="68" t="inlineStr">
        <is>
          <t>Botella de Tinta Original Epson 544 Magenta (T544320)</t>
        </is>
      </c>
      <c r="C34" s="69" t="inlineStr">
        <is>
          <t>Tintas y Suministros</t>
        </is>
      </c>
      <c r="D34" s="69" t="inlineStr">
        <is>
          <t>Epson</t>
        </is>
      </c>
      <c r="E34" s="70" t="inlineStr">
        <is>
          <t>T544320</t>
        </is>
      </c>
      <c r="F34" s="70" t="inlineStr">
        <is>
          <t>Magenta</t>
        </is>
      </c>
      <c r="G34" s="71" t="inlineStr">
        <is>
          <t>010343941991</t>
        </is>
      </c>
      <c r="H34" s="70" t="inlineStr">
        <is>
          <t>NUEVO</t>
        </is>
      </c>
      <c r="I34" s="72" t="inlineStr">
        <is>
          <t>🟢 En Stock</t>
        </is>
      </c>
      <c r="J34" s="73" t="n">
        <v>1</v>
      </c>
      <c r="K34" s="74" t="n">
        <v>1</v>
      </c>
      <c r="L34" s="70" t="inlineStr">
        <is>
          <t>Estante Tintas - Nivel 4</t>
        </is>
      </c>
      <c r="M34" s="75" t="n">
        <v>20000</v>
      </c>
      <c r="N34" s="76" t="n">
        <v>0.3333111103703457</v>
      </c>
      <c r="O34" s="77">
        <f>IF(N34&lt;1, ROUNDUP(M34/(1-N34), -3), M34)</f>
        <v/>
      </c>
      <c r="P34" s="76" t="n">
        <v>0.16</v>
      </c>
      <c r="Q34" s="75">
        <f>IF((1-N34-P34)&gt;0, ROUNDUP((M34+IF(O34&gt;=90000,20000,0))/(1-N34-P34), -3), O34)</f>
        <v/>
      </c>
      <c r="R34" s="75">
        <f>O34</f>
        <v/>
      </c>
      <c r="S34" s="75">
        <f>O34-M34</f>
        <v/>
      </c>
      <c r="T34" s="76">
        <f>IF(O34&gt;0, (O34-M34)/O34, 0)</f>
        <v/>
      </c>
      <c r="U34" s="70" t="inlineStr">
        <is>
          <t>100% Original Epson</t>
        </is>
      </c>
      <c r="V34" s="69" t="inlineStr">
        <is>
          <t>IMAGENES DE PRODUCTOS/T544320.jpg</t>
        </is>
      </c>
      <c r="W34" s="69" t="inlineStr">
        <is>
          <t>Tinta original Epson 544 Magenta para impresoras EcoTank con sistema Ecofit.</t>
        </is>
      </c>
      <c r="X34" s="69" t="inlineStr">
        <is>
          <t>Sistema Ecofit 544.</t>
        </is>
      </c>
    </row>
    <row r="35" ht="24" customHeight="1" s="52">
      <c r="A35" s="67" t="inlineStr">
        <is>
          <t>MTS-0032</t>
        </is>
      </c>
      <c r="B35" s="68" t="inlineStr">
        <is>
          <t>Botella de Tinta Original Epson 544 Negra 65ml (T544120)</t>
        </is>
      </c>
      <c r="C35" s="69" t="inlineStr">
        <is>
          <t>Tintas y Suministros</t>
        </is>
      </c>
      <c r="D35" s="69" t="inlineStr">
        <is>
          <t>Epson</t>
        </is>
      </c>
      <c r="E35" s="70" t="inlineStr">
        <is>
          <t>T544120</t>
        </is>
      </c>
      <c r="F35" s="70" t="inlineStr">
        <is>
          <t>Negro</t>
        </is>
      </c>
      <c r="G35" s="71" t="inlineStr">
        <is>
          <t>010343941977</t>
        </is>
      </c>
      <c r="H35" s="70" t="inlineStr">
        <is>
          <t>NUEVO</t>
        </is>
      </c>
      <c r="I35" s="72" t="inlineStr">
        <is>
          <t>🟢 En Stock</t>
        </is>
      </c>
      <c r="J35" s="73" t="n">
        <v>1</v>
      </c>
      <c r="K35" s="74" t="n">
        <v>1</v>
      </c>
      <c r="L35" s="70" t="inlineStr">
        <is>
          <t>Estante Tintas - Nivel 4</t>
        </is>
      </c>
      <c r="M35" s="75" t="n">
        <v>20000</v>
      </c>
      <c r="N35" s="76" t="n">
        <v>0.3333111103703457</v>
      </c>
      <c r="O35" s="77">
        <f>IF(N35&lt;1, ROUNDUP(M35/(1-N35), -3), M35)</f>
        <v/>
      </c>
      <c r="P35" s="76" t="n">
        <v>0.16</v>
      </c>
      <c r="Q35" s="75">
        <f>IF((1-N35-P35)&gt;0, ROUNDUP((M35+IF(O35&gt;=90000,20000,0))/(1-N35-P35), -3), O35)</f>
        <v/>
      </c>
      <c r="R35" s="75">
        <f>O35</f>
        <v/>
      </c>
      <c r="S35" s="75">
        <f>O35-M35</f>
        <v/>
      </c>
      <c r="T35" s="76">
        <f>IF(O35&gt;0, (O35-M35)/O35, 0)</f>
        <v/>
      </c>
      <c r="U35" s="70" t="inlineStr">
        <is>
          <t>100% Original Epson</t>
        </is>
      </c>
      <c r="V35" s="69" t="inlineStr">
        <is>
          <t>IMAGENES DE PRODUCTOS/T544120.jpg</t>
        </is>
      </c>
      <c r="W35" s="69" t="inlineStr">
        <is>
          <t>Tinta original Epson 544 Negra de 65ml para impresoras EcoTank.</t>
        </is>
      </c>
      <c r="X35" s="69" t="inlineStr">
        <is>
          <t>Sistema Ecofit 544.</t>
        </is>
      </c>
    </row>
    <row r="36" ht="24" customHeight="1" s="52">
      <c r="A36" s="67" t="inlineStr">
        <is>
          <t>MTS-0033</t>
        </is>
      </c>
      <c r="B36" s="68" t="inlineStr">
        <is>
          <t>UPS Unipower UBI1000 Línea Interactiva 1000VA / 600W</t>
        </is>
      </c>
      <c r="C36" s="69" t="inlineStr">
        <is>
          <t>Energía y Respaldo / UPS</t>
        </is>
      </c>
      <c r="D36" s="69" t="inlineStr">
        <is>
          <t>Unipower</t>
        </is>
      </c>
      <c r="E36" s="70" t="inlineStr">
        <is>
          <t>UBI1000</t>
        </is>
      </c>
      <c r="F36" s="70" t="inlineStr"/>
      <c r="G36" s="71" t="inlineStr">
        <is>
          <t>7707328610015</t>
        </is>
      </c>
      <c r="H36" s="70" t="inlineStr">
        <is>
          <t>Nuevo</t>
        </is>
      </c>
      <c r="I36" s="72" t="inlineStr">
        <is>
          <t>🟢 En Stock</t>
        </is>
      </c>
      <c r="J36" s="73" t="n">
        <v>3</v>
      </c>
      <c r="K36" s="74" t="n">
        <v>10</v>
      </c>
      <c r="L36" s="70" t="inlineStr">
        <is>
          <t>Estante A - Nivel 2</t>
        </is>
      </c>
      <c r="M36" s="75" t="n">
        <v>152338</v>
      </c>
      <c r="N36" s="76" t="n">
        <v>0.31068466373151</v>
      </c>
      <c r="O36" s="77">
        <f>IF(N36&lt;1, ROUNDUP(M36/(1-N36), -3), M36)</f>
        <v/>
      </c>
      <c r="P36" s="76" t="n">
        <v>0.16</v>
      </c>
      <c r="Q36" s="75">
        <f>IF((1-N36-P36)&gt;0, ROUNDUP((M36+IF(O36&gt;=90000,20000,0))/(1-N36-P36), -3), O36)</f>
        <v/>
      </c>
      <c r="R36" s="75">
        <f>O36</f>
        <v/>
      </c>
      <c r="S36" s="75">
        <f>O36-M36</f>
        <v/>
      </c>
      <c r="T36" s="76">
        <f>IF(O36&gt;0, (O36-M36)/O36, 0)</f>
        <v/>
      </c>
      <c r="U36" s="70" t="inlineStr">
        <is>
          <t>36 Meses (3 Años)</t>
        </is>
      </c>
      <c r="V36" s="69" t="inlineStr">
        <is>
          <t>identidad visual max tech/Logo MAX Tech.png</t>
        </is>
      </c>
      <c r="W36" s="69" t="inlineStr">
        <is>
          <t>Es un sistema de respaldo con batería de 1000VA (600W). Si se corta la energía o hay un bajonazo de luz, mantiene encendido tu computador, módem de internet o punto de venta para que no pierdas tu trabajo y puedas apagar todo de forma segura. Trae 8 tomas protegidas y 3 años de garantía oficial.</t>
        </is>
      </c>
      <c r="X36" s="69" t="inlineStr">
        <is>
          <t>Producto de alta rotación para oficinas y hogares. | 3 unidades nuevas ingresadas (Factura FT-20168).</t>
        </is>
      </c>
    </row>
    <row r="37" ht="24" customHeight="1" s="52">
      <c r="A37" s="67" t="inlineStr">
        <is>
          <t>MTS-0034</t>
        </is>
      </c>
      <c r="B37" s="68" t="inlineStr">
        <is>
          <t>UPS Unipower UPI1500 Interactiva 1.5KVA / 900W con Pantalla</t>
        </is>
      </c>
      <c r="C37" s="69" t="inlineStr">
        <is>
          <t>Energía y Respaldo / UPS</t>
        </is>
      </c>
      <c r="D37" s="69" t="inlineStr">
        <is>
          <t>Unipower</t>
        </is>
      </c>
      <c r="E37" s="70" t="inlineStr">
        <is>
          <t>UPI1500</t>
        </is>
      </c>
      <c r="F37" s="70" t="inlineStr"/>
      <c r="G37" s="71" t="inlineStr">
        <is>
          <t>7707328610022</t>
        </is>
      </c>
      <c r="H37" s="70" t="inlineStr">
        <is>
          <t>Nuevo</t>
        </is>
      </c>
      <c r="I37" s="72" t="inlineStr">
        <is>
          <t>⚪ Agotado</t>
        </is>
      </c>
      <c r="J37" s="73" t="n">
        <v>0</v>
      </c>
      <c r="K37" s="74" t="n">
        <v>2</v>
      </c>
      <c r="L37" s="70" t="inlineStr">
        <is>
          <t>Estante A - Nivel 1</t>
        </is>
      </c>
      <c r="M37" s="75" t="n">
        <v>432546</v>
      </c>
      <c r="N37" s="76" t="n">
        <v>0.2503522536434205</v>
      </c>
      <c r="O37" s="77">
        <f>IF(N37&lt;1, ROUNDUP(M37/(1-N37), -3), M37)</f>
        <v/>
      </c>
      <c r="P37" s="76" t="n">
        <v>0.16</v>
      </c>
      <c r="Q37" s="75">
        <f>IF((1-N37-P37)&gt;0, ROUNDUP((M37+IF(O37&gt;=90000,20000,0))/(1-N37-P37), -3), O37)</f>
        <v/>
      </c>
      <c r="R37" s="75">
        <f>O37</f>
        <v/>
      </c>
      <c r="S37" s="75">
        <f>O37-M37</f>
        <v/>
      </c>
      <c r="T37" s="76">
        <f>IF(O37&gt;0, (O37-M37)/O37, 0)</f>
        <v/>
      </c>
      <c r="U37" s="70" t="inlineStr">
        <is>
          <t>36 Meses (3 Años)</t>
        </is>
      </c>
      <c r="V37" s="69" t="inlineStr">
        <is>
          <t>identidad visual max tech/Logo MAX Tech.png</t>
        </is>
      </c>
      <c r="W37" s="69" t="inlineStr">
        <is>
          <t>UPS de alta potencia (1500VA / 900W) con pantalla digital frontal que te muestra el nivel de carga y batería. Puede respaldar 2 o 3 computadores al tiempo, o servidores y grabadores de cámaras de seguridad con mayor tiempo de batería. Cuenta con 3 años de garantía.</t>
        </is>
      </c>
      <c r="X37" s="69" t="inlineStr">
        <is>
          <t>Recomendada para empresas y salas de cómputo.</t>
        </is>
      </c>
    </row>
    <row r="38" ht="24" customHeight="1" s="52">
      <c r="A38" s="67" t="inlineStr">
        <is>
          <t>MTS-0035</t>
        </is>
      </c>
      <c r="B38" s="68" t="inlineStr">
        <is>
          <t>Regulador de Voltaje CDP R-AVR 3008 (3000VA / 1500W, 8 Salidas)</t>
        </is>
      </c>
      <c r="C38" s="69" t="inlineStr">
        <is>
          <t>Energía y Respaldo / Reguladores</t>
        </is>
      </c>
      <c r="D38" s="69" t="inlineStr">
        <is>
          <t>CDP</t>
        </is>
      </c>
      <c r="E38" s="70" t="inlineStr">
        <is>
          <t>R-AVR 3008</t>
        </is>
      </c>
      <c r="F38" s="70" t="inlineStr"/>
      <c r="G38" s="71" t="inlineStr">
        <is>
          <t>0816869002280</t>
        </is>
      </c>
      <c r="H38" s="70" t="inlineStr">
        <is>
          <t>Nuevo</t>
        </is>
      </c>
      <c r="I38" s="72" t="inlineStr">
        <is>
          <t>⚪ Agotado</t>
        </is>
      </c>
      <c r="J38" s="73" t="n">
        <v>0</v>
      </c>
      <c r="K38" s="74" t="n">
        <v>1</v>
      </c>
      <c r="L38" s="70" t="inlineStr">
        <is>
          <t>Estante A - Nivel 2</t>
        </is>
      </c>
      <c r="M38" s="75" t="n">
        <v>163096</v>
      </c>
      <c r="N38" s="76" t="n">
        <v>0.3000141631509148</v>
      </c>
      <c r="O38" s="77">
        <f>IF(N38&lt;1, ROUNDUP(M38/(1-N38), -3), M38)</f>
        <v/>
      </c>
      <c r="P38" s="76" t="n">
        <v>0.16</v>
      </c>
      <c r="Q38" s="75">
        <f>IF((1-N38-P38)&gt;0, ROUNDUP((M38+IF(O38&gt;=90000,20000,0))/(1-N38-P38), -3), O38)</f>
        <v/>
      </c>
      <c r="R38" s="75">
        <f>O38</f>
        <v/>
      </c>
      <c r="S38" s="75">
        <f>O38-M38</f>
        <v/>
      </c>
      <c r="T38" s="76">
        <f>IF(O38&gt;0, (O38-M38)/O38, 0)</f>
        <v/>
      </c>
      <c r="U38" s="70" t="inlineStr">
        <is>
          <t>10 Años de Fábrica</t>
        </is>
      </c>
      <c r="V38" s="69" t="inlineStr">
        <is>
          <t>identidad visual max tech/Logo MAX Tech.png</t>
        </is>
      </c>
      <c r="W38" s="69" t="inlineStr">
        <is>
          <t>Regulador de alta potencia con 8 tomas y protección de hasta 3000VA. Protege tus equipos contra picos de voltaje y descargas eléctricas. Tiene temporizador especial de encendido para cuidar impresoras láser, fotocopiadoras o electrodomésticos. Viene con 10 años de garantía.</t>
        </is>
      </c>
      <c r="X38" s="69" t="inlineStr">
        <is>
          <t>10 años de garantía directa de fábrica CDP.</t>
        </is>
      </c>
    </row>
    <row r="39" ht="24" customHeight="1" s="52">
      <c r="A39" s="67" t="inlineStr">
        <is>
          <t>MTS-0036</t>
        </is>
      </c>
      <c r="B39" s="68" t="inlineStr">
        <is>
          <t>Monitor Dahua 24" Panel IPS 144Hz 1ms Full HD</t>
        </is>
      </c>
      <c r="C39" s="69" t="inlineStr">
        <is>
          <t>Monitores y Pantallas</t>
        </is>
      </c>
      <c r="D39" s="69" t="inlineStr">
        <is>
          <t>Dahua</t>
        </is>
      </c>
      <c r="E39" s="70" t="inlineStr">
        <is>
          <t>DHI-LM24-A221Y</t>
        </is>
      </c>
      <c r="F39" s="70" t="inlineStr"/>
      <c r="G39" s="71" t="inlineStr">
        <is>
          <t>6938596001248</t>
        </is>
      </c>
      <c r="H39" s="70" t="inlineStr">
        <is>
          <t>Nuevo</t>
        </is>
      </c>
      <c r="I39" s="72" t="inlineStr">
        <is>
          <t>⚪ Agotado</t>
        </is>
      </c>
      <c r="J39" s="73" t="n">
        <v>0</v>
      </c>
      <c r="K39" s="74" t="n">
        <v>1</v>
      </c>
      <c r="L39" s="70" t="inlineStr">
        <is>
          <t>Estante B - Nivel 2</t>
        </is>
      </c>
      <c r="M39" s="75" t="n">
        <v>265738</v>
      </c>
      <c r="N39" s="76" t="n">
        <v>0.2514401449018167</v>
      </c>
      <c r="O39" s="77">
        <f>IF(N39&lt;1, ROUNDUP(M39/(1-N39), -3), M39)</f>
        <v/>
      </c>
      <c r="P39" s="76" t="n">
        <v>0.16</v>
      </c>
      <c r="Q39" s="75">
        <f>IF((1-N39-P39)&gt;0, ROUNDUP((M39+IF(O39&gt;=90000,20000,0))/(1-N39-P39), -3), O39)</f>
        <v/>
      </c>
      <c r="R39" s="75">
        <f>O39</f>
        <v/>
      </c>
      <c r="S39" s="75">
        <f>O39-M39</f>
        <v/>
      </c>
      <c r="T39" s="76">
        <f>IF(O39&gt;0, (O39-M39)/O39, 0)</f>
        <v/>
      </c>
      <c r="U39" s="70" t="inlineStr">
        <is>
          <t>36 Meses (3 Años)</t>
        </is>
      </c>
      <c r="V39" s="69" t="inlineStr">
        <is>
          <t>identidad visual max tech/Logo MAX Tech.png</t>
        </is>
      </c>
      <c r="W39" s="69" t="inlineStr">
        <is>
          <t>Pantalla de 24 pulgadas Full HD con tecnología IPS: los colores se ven vivos y claros desde cualquier ángulo. Al tener 144Hz de refresco y 1ms, todo el movimiento se ve supersuave, evitando el cansancio en los ojos tras varias horas de trabajo o juego. Incluye su cable HDMI y 3 años de garantía.</t>
        </is>
      </c>
      <c r="X39" s="69" t="inlineStr">
        <is>
          <t>Bisel ultradelgado y filtro de luz azul.</t>
        </is>
      </c>
    </row>
    <row r="40" ht="24" customHeight="1" s="52">
      <c r="A40" s="67" t="inlineStr">
        <is>
          <t>MTS-0037</t>
        </is>
      </c>
      <c r="B40" s="68" t="inlineStr">
        <is>
          <t>Monitor Dahua LED 27 Pulgadas FHD 144Hz 1ms IPS (DHI-LM27-A221Y)</t>
        </is>
      </c>
      <c r="C40" s="69" t="inlineStr">
        <is>
          <t>Monitores y Pantallas</t>
        </is>
      </c>
      <c r="D40" s="69" t="inlineStr">
        <is>
          <t>Dahua</t>
        </is>
      </c>
      <c r="E40" s="70" t="inlineStr">
        <is>
          <t>DHI-LM27-A221Y</t>
        </is>
      </c>
      <c r="F40" s="70" t="inlineStr">
        <is>
          <t>Negro</t>
        </is>
      </c>
      <c r="G40" s="71" t="inlineStr">
        <is>
          <t>6938596001279</t>
        </is>
      </c>
      <c r="H40" s="70" t="inlineStr">
        <is>
          <t>NUEVO</t>
        </is>
      </c>
      <c r="I40" s="72" t="inlineStr">
        <is>
          <t>🟢 En Stock</t>
        </is>
      </c>
      <c r="J40" s="73" t="n">
        <v>3</v>
      </c>
      <c r="K40" s="74" t="n">
        <v>11</v>
      </c>
      <c r="L40" s="70" t="inlineStr">
        <is>
          <t>Bodega / Taller - Estante Monitores</t>
        </is>
      </c>
      <c r="M40" s="75" t="n">
        <v>316143</v>
      </c>
      <c r="N40" s="76" t="n">
        <v>0.1893748445508835</v>
      </c>
      <c r="O40" s="77">
        <f>IF(N40&lt;1, ROUNDUP(M40/(1-N40), -3), M40)</f>
        <v/>
      </c>
      <c r="P40" s="76" t="n">
        <v>0.16</v>
      </c>
      <c r="Q40" s="75">
        <f>IF((1-N40-P40)&gt;0, ROUNDUP((M40+IF(O40&gt;=90000,20000,0))/(1-N40-P40), -3), O40)</f>
        <v/>
      </c>
      <c r="R40" s="75">
        <f>O40</f>
        <v/>
      </c>
      <c r="S40" s="75">
        <f>O40-M40</f>
        <v/>
      </c>
      <c r="T40" s="76">
        <f>IF(O40&gt;0, (O40-M40)/O40, 0)</f>
        <v/>
      </c>
      <c r="U40" s="70" t="inlineStr">
        <is>
          <t>36 Meses (3 Años)</t>
        </is>
      </c>
      <c r="V40" s="69" t="inlineStr">
        <is>
          <t>IMAGENES DE PRODUCTOS/Monitor dahua led 27 pulgadas ips 144 hz full hd.webp</t>
        </is>
      </c>
      <c r="W40" s="69" t="inlineStr">
        <is>
          <t>• Pantalla: 27 Pulgadas Full HD (1920 x 1080) antirreflejo
• Panel: IPS con ángulos de visión amplios de 178°
• Tasa de refresco: 144 Hz ultrarrápida
• Tiempo de respuesta: 1 ms
• Conectividad: Puertos HDMI y VGA
• Diseño: Biseles ultradelgados con base plástica resistente
• Garantía oficial de 3 años Dahua.</t>
        </is>
      </c>
      <c r="X40" s="69" t="inlineStr">
        <is>
          <t>10 unidades físicas selladas. Seriales: BLR01916302500002 a BLR01916302500646. Factura FT-9364. | 3 unidades nuevas ingresadas (Factura FT-20171).</t>
        </is>
      </c>
    </row>
    <row r="41" ht="24" customHeight="1" s="52">
      <c r="A41" s="67" t="inlineStr">
        <is>
          <t>MTS-0038</t>
        </is>
      </c>
      <c r="B41" s="68" t="inlineStr">
        <is>
          <t>Monitor Dahua 27" Panel IPS 100Hz Full HD</t>
        </is>
      </c>
      <c r="C41" s="69" t="inlineStr">
        <is>
          <t>Monitores y Pantallas</t>
        </is>
      </c>
      <c r="D41" s="69" t="inlineStr">
        <is>
          <t>Dahua</t>
        </is>
      </c>
      <c r="E41" s="70" t="inlineStr">
        <is>
          <t>DHI-LM27-A201H</t>
        </is>
      </c>
      <c r="F41" s="70" t="inlineStr"/>
      <c r="G41" s="71" t="inlineStr">
        <is>
          <t>6938596001271</t>
        </is>
      </c>
      <c r="H41" s="70" t="inlineStr">
        <is>
          <t>Nuevo</t>
        </is>
      </c>
      <c r="I41" s="72" t="inlineStr">
        <is>
          <t>⚪ Agotado</t>
        </is>
      </c>
      <c r="J41" s="73" t="n">
        <v>0</v>
      </c>
      <c r="K41" s="74" t="n">
        <v>1</v>
      </c>
      <c r="L41" s="70" t="inlineStr">
        <is>
          <t>Estante B - Nivel 1</t>
        </is>
      </c>
      <c r="M41" s="75" t="n">
        <v>310243</v>
      </c>
      <c r="N41" s="76" t="n">
        <v>0.2506189628477363</v>
      </c>
      <c r="O41" s="77">
        <f>IF(N41&lt;1, ROUNDUP(M41/(1-N41), -3), M41)</f>
        <v/>
      </c>
      <c r="P41" s="76" t="n">
        <v>0.16</v>
      </c>
      <c r="Q41" s="75">
        <f>IF((1-N41-P41)&gt;0, ROUNDUP((M41+IF(O41&gt;=90000,20000,0))/(1-N41-P41), -3), O41)</f>
        <v/>
      </c>
      <c r="R41" s="75">
        <f>O41</f>
        <v/>
      </c>
      <c r="S41" s="75">
        <f>O41-M41</f>
        <v/>
      </c>
      <c r="T41" s="76">
        <f>IF(O41&gt;0, (O41-M41)/O41, 0)</f>
        <v/>
      </c>
      <c r="U41" s="70" t="inlineStr">
        <is>
          <t>36 Meses (3 Años)</t>
        </is>
      </c>
      <c r="V41" s="69" t="inlineStr">
        <is>
          <t>identidad visual max tech/Logo MAX Tech.png</t>
        </is>
      </c>
      <c r="W41" s="69" t="inlineStr">
        <is>
          <t>Monitor de 27 pulgadas ideal para oficina y estudio. Su tasa de 100Hz ofrece mucha mayor suavidad que una pantalla convencional (60Hz), permitiéndote trabajar con comodidad durante toda la jornada. Incluye cable HDMI y 3 años de garantía.</t>
        </is>
      </c>
      <c r="X41" s="69" t="inlineStr">
        <is>
          <t>Pantalla ejecutiva de 27 pulgadas.</t>
        </is>
      </c>
    </row>
    <row r="42" ht="24" customHeight="1" s="52">
      <c r="A42" s="67" t="inlineStr">
        <is>
          <t>MTS-0039</t>
        </is>
      </c>
      <c r="B42" s="68" t="inlineStr">
        <is>
          <t>Portátil Dell 15 Intel Core i7 13va Gen 16GB RAM 512GB SSD 15.6" FHD</t>
        </is>
      </c>
      <c r="C42" s="69" t="inlineStr">
        <is>
          <t>Portátiles y Equipos</t>
        </is>
      </c>
      <c r="D42" s="69" t="inlineStr">
        <is>
          <t>Dell</t>
        </is>
      </c>
      <c r="E42" s="70" t="inlineStr">
        <is>
          <t>P112F-3XHY0</t>
        </is>
      </c>
      <c r="F42" s="70" t="inlineStr"/>
      <c r="G42" s="71" t="inlineStr">
        <is>
          <t>884116443128</t>
        </is>
      </c>
      <c r="H42" s="70" t="inlineStr">
        <is>
          <t>Nuevo</t>
        </is>
      </c>
      <c r="I42" s="72" t="inlineStr">
        <is>
          <t>⚪ Agotado</t>
        </is>
      </c>
      <c r="J42" s="73" t="n">
        <v>0</v>
      </c>
      <c r="K42" s="74" t="n">
        <v>1</v>
      </c>
      <c r="L42" s="70" t="inlineStr">
        <is>
          <t>Vitrina Principal</t>
        </is>
      </c>
      <c r="M42" s="75" t="n">
        <v>2065526</v>
      </c>
      <c r="N42" s="76" t="n">
        <v>0.1800211115605842</v>
      </c>
      <c r="O42" s="77">
        <f>IF(N42&lt;1, ROUNDUP(M42/(1-N42), -3), M42)</f>
        <v/>
      </c>
      <c r="P42" s="76" t="n">
        <v>0.15</v>
      </c>
      <c r="Q42" s="75">
        <f>IF((1-N42-P42)&gt;0, ROUNDUP((M42+IF(O42&gt;=90000,20000,0))/(1-N42-P42), -3), O42)</f>
        <v/>
      </c>
      <c r="R42" s="75">
        <f>O42</f>
        <v/>
      </c>
      <c r="S42" s="75">
        <f>O42-M42</f>
        <v/>
      </c>
      <c r="T42" s="76">
        <f>IF(O42&gt;0, (O42-M42)/O42, 0)</f>
        <v/>
      </c>
      <c r="U42" s="70" t="inlineStr">
        <is>
          <t>12 Meses Onsite Dell</t>
        </is>
      </c>
      <c r="V42" s="69" t="inlineStr">
        <is>
          <t>identidad visual max tech/Logo MAX Tech.png</t>
        </is>
      </c>
      <c r="W42" s="69" t="inlineStr">
        <is>
          <t>Portátil rápido y confiable con procesador Intel Core i7 de 13va generación (10 núcleos), 16GB de memoria RAM y disco sólido ultrarrápido de 512GB. Enciende en pocos segundos y abre cualquier programa al instante. Pantalla de 15.6 pulgadas antirreflejo con teclado numérico y garantía oficial de Dell por 1 año.</t>
        </is>
      </c>
      <c r="X42" s="69" t="inlineStr">
        <is>
          <t>Garantía Onsite directa con Dell.</t>
        </is>
      </c>
    </row>
    <row r="43" ht="24" customHeight="1" s="52">
      <c r="A43" s="67" t="inlineStr">
        <is>
          <t>MTS-0040</t>
        </is>
      </c>
      <c r="B43" s="68" t="inlineStr">
        <is>
          <t>Portátil Dell 15 Intel Core i7 13va Gen 16GB RAM 512GB SSD (RWCGN)</t>
        </is>
      </c>
      <c r="C43" s="69" t="inlineStr">
        <is>
          <t>Portátiles y Equipos</t>
        </is>
      </c>
      <c r="D43" s="69" t="inlineStr">
        <is>
          <t>Dell</t>
        </is>
      </c>
      <c r="E43" s="70" t="inlineStr">
        <is>
          <t>P112F-RWCGN</t>
        </is>
      </c>
      <c r="F43" s="70" t="inlineStr"/>
      <c r="G43" s="71" t="inlineStr">
        <is>
          <t>884116443135</t>
        </is>
      </c>
      <c r="H43" s="70" t="inlineStr">
        <is>
          <t>Nuevo</t>
        </is>
      </c>
      <c r="I43" s="72" t="inlineStr">
        <is>
          <t>⚪ Agotado</t>
        </is>
      </c>
      <c r="J43" s="73" t="n">
        <v>0</v>
      </c>
      <c r="K43" s="74" t="n">
        <v>1</v>
      </c>
      <c r="L43" s="70" t="inlineStr">
        <is>
          <t>Vitrina Principal</t>
        </is>
      </c>
      <c r="M43" s="75" t="n">
        <v>2648576</v>
      </c>
      <c r="N43" s="76" t="n">
        <v>0.1602483069905856</v>
      </c>
      <c r="O43" s="77">
        <f>IF(N43&lt;1, ROUNDUP(M43/(1-N43), -3), M43)</f>
        <v/>
      </c>
      <c r="P43" s="76" t="n">
        <v>0.15</v>
      </c>
      <c r="Q43" s="75">
        <f>IF((1-N43-P43)&gt;0, ROUNDUP((M43+IF(O43&gt;=90000,20000,0))/(1-N43-P43), -3), O43)</f>
        <v/>
      </c>
      <c r="R43" s="75">
        <f>O43</f>
        <v/>
      </c>
      <c r="S43" s="75">
        <f>O43-M43</f>
        <v/>
      </c>
      <c r="T43" s="76">
        <f>IF(O43&gt;0, (O43-M43)/O43, 0)</f>
        <v/>
      </c>
      <c r="U43" s="70" t="inlineStr">
        <is>
          <t>12 Meses Onsite Dell</t>
        </is>
      </c>
      <c r="V43" s="69" t="inlineStr">
        <is>
          <t>identidad visual max tech/Logo MAX Tech.png</t>
        </is>
      </c>
      <c r="W43" s="69" t="inlineStr">
        <is>
          <t>Computador portátil de alto rendimiento con procesador Intel Core i7, 16GB de memoria y disco sólido NVMe de 512GB. Diseñado para trabajo profesional, contabilidad, diseño y multitarea exigente. Cuenta con 1 año de garantía oficial de fábrica con soporte a domicilio de Dell.</t>
        </is>
      </c>
      <c r="X43" s="69" t="inlineStr">
        <is>
          <t>Soporte técnico directo de fábrica.</t>
        </is>
      </c>
    </row>
    <row r="44" ht="24" customHeight="1" s="52">
      <c r="A44" s="67" t="inlineStr">
        <is>
          <t>MTS-0041</t>
        </is>
      </c>
      <c r="B44" s="68" t="inlineStr">
        <is>
          <t>Portátil Lenovo IdeaPad Slim 3 Intel Core i7 24GB RAM 512GB SSD 15.6" FHD</t>
        </is>
      </c>
      <c r="C44" s="69" t="inlineStr">
        <is>
          <t>Portátiles y Equipos</t>
        </is>
      </c>
      <c r="D44" s="69" t="inlineStr">
        <is>
          <t>Lenovo</t>
        </is>
      </c>
      <c r="E44" s="70" t="inlineStr">
        <is>
          <t>83K100BRLM</t>
        </is>
      </c>
      <c r="F44" s="70" t="inlineStr"/>
      <c r="G44" s="71" t="inlineStr">
        <is>
          <t>197532341209</t>
        </is>
      </c>
      <c r="H44" s="70" t="inlineStr">
        <is>
          <t>Nuevo</t>
        </is>
      </c>
      <c r="I44" s="72" t="inlineStr">
        <is>
          <t>⚪ Agotado</t>
        </is>
      </c>
      <c r="J44" s="73" t="n">
        <v>0</v>
      </c>
      <c r="K44" s="74" t="n">
        <v>2</v>
      </c>
      <c r="L44" s="70" t="inlineStr">
        <is>
          <t>Vitrina Principal</t>
        </is>
      </c>
      <c r="M44" s="75" t="n">
        <v>2430833</v>
      </c>
      <c r="N44" s="76" t="n">
        <v>0.1801572277090144</v>
      </c>
      <c r="O44" s="77">
        <f>IF(N44&lt;1, ROUNDUP(M44/(1-N44), -3), M44)</f>
        <v/>
      </c>
      <c r="P44" s="76" t="n">
        <v>0.15</v>
      </c>
      <c r="Q44" s="75">
        <f>IF((1-N44-P44)&gt;0, ROUNDUP((M44+IF(O44&gt;=90000,20000,0))/(1-N44-P44), -3), O44)</f>
        <v/>
      </c>
      <c r="R44" s="75">
        <f>O44</f>
        <v/>
      </c>
      <c r="S44" s="75">
        <f>O44-M44</f>
        <v/>
      </c>
      <c r="T44" s="76">
        <f>IF(O44&gt;0, (O44-M44)/O44, 0)</f>
        <v/>
      </c>
      <c r="U44" s="70" t="inlineStr">
        <is>
          <t>12 Meses Lenovo</t>
        </is>
      </c>
      <c r="V44" s="69" t="inlineStr">
        <is>
          <t>identidad visual max tech/Logo MAX Tech.png</t>
        </is>
      </c>
      <c r="W44" s="69" t="inlineStr">
        <is>
          <t>Un portátil con una potencia impresionante: viene de fábrica con 24GB de memoria RAM (más del doble de lo normal) y procesador Intel Core i7 de alto desempeño. Es liviano, delgado, elegante en color gris y perfecto si necesitas trabajar con programas pesados, virtualización o ingeniería sin que se ponga lento jamás.</t>
        </is>
      </c>
      <c r="X44" s="69" t="inlineStr">
        <is>
          <t>24GB de memoria RAM de fábrica.</t>
        </is>
      </c>
    </row>
    <row r="45" ht="24" customHeight="1" s="52">
      <c r="A45" s="67" t="inlineStr">
        <is>
          <t>MTS-0042</t>
        </is>
      </c>
      <c r="B45" s="68" t="inlineStr">
        <is>
          <t>Workstation Lenovo ThinkPad P16s Core Ultra 7 16GB SSD 1TB Nvidia RTX PRO 500 6GB W11Pro</t>
        </is>
      </c>
      <c r="C45" s="69" t="inlineStr">
        <is>
          <t>Estaciones de Trabajo / Laptops Pro</t>
        </is>
      </c>
      <c r="D45" s="69" t="inlineStr">
        <is>
          <t>Lenovo ThinkPad</t>
        </is>
      </c>
      <c r="E45" s="70" t="inlineStr">
        <is>
          <t>21QW000ALM</t>
        </is>
      </c>
      <c r="F45" s="70" t="inlineStr"/>
      <c r="G45" s="71" t="inlineStr">
        <is>
          <t>198153441928</t>
        </is>
      </c>
      <c r="H45" s="70" t="inlineStr">
        <is>
          <t>Nuevo</t>
        </is>
      </c>
      <c r="I45" s="72" t="inlineStr">
        <is>
          <t>⚪ Agotado</t>
        </is>
      </c>
      <c r="J45" s="73" t="n">
        <v>0</v>
      </c>
      <c r="K45" s="74" t="n">
        <v>1</v>
      </c>
      <c r="L45" s="70" t="inlineStr">
        <is>
          <t>Caja Fuerte / Vitrina VIP</t>
        </is>
      </c>
      <c r="M45" s="75" t="n">
        <v>8967320</v>
      </c>
      <c r="N45" s="76" t="n">
        <v>0.1500169810442636</v>
      </c>
      <c r="O45" s="77">
        <f>IF(N45&lt;1, ROUNDUP(M45/(1-N45), -3), M45)</f>
        <v/>
      </c>
      <c r="P45" s="76" t="n">
        <v>0.14</v>
      </c>
      <c r="Q45" s="75">
        <f>IF((1-N45-P45)&gt;0, ROUNDUP((M45+IF(O45&gt;=90000,20000,0))/(1-N45-P45), -3), O45)</f>
        <v/>
      </c>
      <c r="R45" s="75">
        <f>O45</f>
        <v/>
      </c>
      <c r="S45" s="75">
        <f>O45-M45</f>
        <v/>
      </c>
      <c r="T45" s="76">
        <f>IF(O45&gt;0, (O45-M45)/O45, 0)</f>
        <v/>
      </c>
      <c r="U45" s="70" t="inlineStr">
        <is>
          <t>36 Meses (3 Años Onsite Premier)</t>
        </is>
      </c>
      <c r="V45" s="69" t="inlineStr">
        <is>
          <t>identidad visual max tech/Logo MAX Tech.png</t>
        </is>
      </c>
      <c r="W45" s="69" t="inlineStr">
        <is>
          <t>Estación de trabajo portátil de gama profesional. Cuenta con el nuevo procesador Intel Core Ultra 7 con inteligencia artificial integrada, 1TB de disco sólido, tarjeta gráfica dedicada NVIDIA RTX PRO 500 de 6GB, pantalla de 16 pulgadas y certificación militar de resistencia. Es la máquina definitiva para arquitectura (AutoCAD/Revit), modelado 3D, edición 4K e ingeniería.</t>
        </is>
      </c>
      <c r="X45" s="69" t="inlineStr">
        <is>
          <t>Garantía Premier Onsite de 3 años.</t>
        </is>
      </c>
    </row>
    <row r="46" ht="24" customHeight="1" s="52">
      <c r="A46" s="67" t="inlineStr">
        <is>
          <t>MTS-0043</t>
        </is>
      </c>
      <c r="B46" s="68" t="inlineStr">
        <is>
          <t>Router TP-Link Archer C86 AC1900 Dual-Band Gigabit Wi-Fi</t>
        </is>
      </c>
      <c r="C46" s="69" t="inlineStr">
        <is>
          <t>Redes y Conectividad</t>
        </is>
      </c>
      <c r="D46" s="69" t="inlineStr">
        <is>
          <t>TP-Link</t>
        </is>
      </c>
      <c r="E46" s="70" t="inlineStr">
        <is>
          <t>Archer C86</t>
        </is>
      </c>
      <c r="F46" s="70" t="inlineStr"/>
      <c r="G46" s="71" t="inlineStr">
        <is>
          <t>6935364072345</t>
        </is>
      </c>
      <c r="H46" s="70" t="inlineStr">
        <is>
          <t>Nuevo</t>
        </is>
      </c>
      <c r="I46" s="72" t="inlineStr">
        <is>
          <t>⚪ Agotado</t>
        </is>
      </c>
      <c r="J46" s="73" t="n">
        <v>0</v>
      </c>
      <c r="K46" s="74" t="n">
        <v>1</v>
      </c>
      <c r="L46" s="70" t="inlineStr">
        <is>
          <t>Estante C - Nivel 2</t>
        </is>
      </c>
      <c r="M46" s="75" t="n">
        <v>142018</v>
      </c>
      <c r="N46" s="76" t="n">
        <v>0.3204847870085503</v>
      </c>
      <c r="O46" s="77">
        <f>IF(N46&lt;1, ROUNDUP(M46/(1-N46), -3), M46)</f>
        <v/>
      </c>
      <c r="P46" s="76" t="n">
        <v>0.16</v>
      </c>
      <c r="Q46" s="75">
        <f>IF((1-N46-P46)&gt;0, ROUNDUP((M46+IF(O46&gt;=90000,20000,0))/(1-N46-P46), -3), O46)</f>
        <v/>
      </c>
      <c r="R46" s="75">
        <f>O46</f>
        <v/>
      </c>
      <c r="S46" s="75">
        <f>O46-M46</f>
        <v/>
      </c>
      <c r="T46" s="76">
        <f>IF(O46&gt;0, (O46-M46)/O46, 0)</f>
        <v/>
      </c>
      <c r="U46" s="70" t="inlineStr">
        <is>
          <t>48 Meses (4 Años TP-Link)</t>
        </is>
      </c>
      <c r="V46" s="69" t="inlineStr">
        <is>
          <t>identidad visual max tech/Logo MAX Tech.png</t>
        </is>
      </c>
      <c r="W46" s="69" t="inlineStr">
        <is>
          <t>Router de alta velocidad y gran cobertura para casas o locales de 2 a 3 pisos. Transmite en dos bandas (2.4GHz y 5GHz) hasta 1900 Mbps para que conectes muchos celulares, televisores y computadores al tiempo sin que se caiga la señal. Trae 4 puertos de red Gigabit y 4 años de garantía.</t>
        </is>
      </c>
      <c r="X46" s="69" t="inlineStr">
        <is>
          <t>4 años de garantía directa TP-Link.</t>
        </is>
      </c>
    </row>
    <row r="47" ht="24" customHeight="1" s="52">
      <c r="A47" s="67" t="inlineStr">
        <is>
          <t>MTS-0044</t>
        </is>
      </c>
      <c r="B47" s="68" t="inlineStr">
        <is>
          <t>Adaptador USB Wi-Fi 6E TP-Link Archer TXE70UH Tribanda AXE5400</t>
        </is>
      </c>
      <c r="C47" s="69" t="inlineStr">
        <is>
          <t>Redes y Conectividad</t>
        </is>
      </c>
      <c r="D47" s="69" t="inlineStr">
        <is>
          <t>TP-Link</t>
        </is>
      </c>
      <c r="E47" s="70" t="inlineStr">
        <is>
          <t>Archer TXE70UH</t>
        </is>
      </c>
      <c r="F47" s="70" t="inlineStr"/>
      <c r="G47" s="71" t="inlineStr">
        <is>
          <t>6935364010538</t>
        </is>
      </c>
      <c r="H47" s="70" t="inlineStr">
        <is>
          <t>Nuevo</t>
        </is>
      </c>
      <c r="I47" s="72" t="inlineStr">
        <is>
          <t>⚪ Agotado</t>
        </is>
      </c>
      <c r="J47" s="73" t="n">
        <v>0</v>
      </c>
      <c r="K47" s="74" t="n">
        <v>1</v>
      </c>
      <c r="L47" s="70" t="inlineStr">
        <is>
          <t>Vitrina Accesorios</t>
        </is>
      </c>
      <c r="M47" s="75" t="n">
        <v>226100</v>
      </c>
      <c r="N47" s="76" t="n">
        <v>0.2999978328106279</v>
      </c>
      <c r="O47" s="77">
        <f>IF(N47&lt;1, ROUNDUP(M47/(1-N47), -3), M47)</f>
        <v/>
      </c>
      <c r="P47" s="76" t="n">
        <v>0.16</v>
      </c>
      <c r="Q47" s="75">
        <f>IF((1-N47-P47)&gt;0, ROUNDUP((M47+IF(O47&gt;=90000,20000,0))/(1-N47-P47), -3), O47)</f>
        <v/>
      </c>
      <c r="R47" s="75">
        <f>O47</f>
        <v/>
      </c>
      <c r="S47" s="75">
        <f>O47-M47</f>
        <v/>
      </c>
      <c r="T47" s="76">
        <f>IF(O47&gt;0, (O47-M47)/O47, 0)</f>
        <v/>
      </c>
      <c r="U47" s="70" t="inlineStr">
        <is>
          <t>48 Meses (4 Años)</t>
        </is>
      </c>
      <c r="V47" s="69" t="inlineStr">
        <is>
          <t>identidad visual max tech/Logo MAX Tech.png</t>
        </is>
      </c>
      <c r="W47" s="69" t="inlineStr">
        <is>
          <t>Es la antena Wi-Fi USB más rápida del mercado. Se conecta a cualquier computador o portátil por USB y le da acceso a la nueva banda Wi-Fi 6E (6 GHz), libre de interferencias y con velocidad de hasta 5400 Mbps. Trae base con cable de extensión para colocar las antenas donde haya mejor señal.</t>
        </is>
      </c>
      <c r="X47" s="69" t="inlineStr">
        <is>
          <t>Garantía de 4 años.</t>
        </is>
      </c>
    </row>
    <row r="48" ht="24" customHeight="1" s="52">
      <c r="A48" s="67" t="inlineStr">
        <is>
          <t>MTS-0045</t>
        </is>
      </c>
      <c r="B48" s="68" t="inlineStr">
        <is>
          <t>Adaptador TP-Link UE330 USB 3.0 a Gigabit Ethernet + Hub 3 Puertos USB</t>
        </is>
      </c>
      <c r="C48" s="69" t="inlineStr">
        <is>
          <t>Redes y Adaptadores</t>
        </is>
      </c>
      <c r="D48" s="69" t="inlineStr">
        <is>
          <t>TP-Link</t>
        </is>
      </c>
      <c r="E48" s="70" t="inlineStr">
        <is>
          <t>UE330</t>
        </is>
      </c>
      <c r="F48" s="70" t="inlineStr"/>
      <c r="G48" s="71" t="inlineStr">
        <is>
          <t>6935364091728</t>
        </is>
      </c>
      <c r="H48" s="70" t="inlineStr">
        <is>
          <t>NUEVO</t>
        </is>
      </c>
      <c r="I48" s="72" t="inlineStr">
        <is>
          <t>⚪ Agotado</t>
        </is>
      </c>
      <c r="J48" s="73" t="n">
        <v>0</v>
      </c>
      <c r="K48" s="74" t="n">
        <v>0</v>
      </c>
      <c r="L48" s="70" t="inlineStr">
        <is>
          <t>Caja 1 - Adaptadores</t>
        </is>
      </c>
      <c r="M48" s="75" t="n">
        <v>87500</v>
      </c>
      <c r="N48" s="76" t="n">
        <v>0.2324494074509426</v>
      </c>
      <c r="O48" s="77">
        <f>IF(N48&lt;1, ROUNDUP(M48/(1-N48), -3), M48)</f>
        <v/>
      </c>
      <c r="P48" s="76" t="n">
        <v>0.16</v>
      </c>
      <c r="Q48" s="75">
        <f>IF((1-N48-P48)&gt;0, ROUNDUP((M48+IF(O48&gt;=90000,20000,0))/(1-N48-P48), -3), O48)</f>
        <v/>
      </c>
      <c r="R48" s="75">
        <f>O48</f>
        <v/>
      </c>
      <c r="S48" s="75">
        <f>O48-M48</f>
        <v/>
      </c>
      <c r="T48" s="76">
        <f>IF(O48&gt;0, (O48-M48)/O48, 0)</f>
        <v/>
      </c>
      <c r="U48" s="70" t="inlineStr">
        <is>
          <t>12 Meses</t>
        </is>
      </c>
      <c r="V48" s="69" t="inlineStr">
        <is>
          <t>IMAGENES DE PRODUCTOS/Adaptador_TP-Link_UE330.png</t>
        </is>
      </c>
      <c r="W48" s="69" t="inlineStr">
        <is>
          <t>Adaptador 2 en 1: te da un puerto de red Gigabit por cable (para cuando el Wi-Fi falla o tu portátil no tiene entrada de red RJ45) y al mismo tiempo te añade 3 puertos USB 3.0 rápidos para conectar memorias, mouse o teclado.</t>
        </is>
      </c>
      <c r="X48" s="69" t="inlineStr"/>
    </row>
    <row r="49" ht="24" customHeight="1" s="52">
      <c r="A49" s="67" t="inlineStr">
        <is>
          <t>MTS-0046</t>
        </is>
      </c>
      <c r="B49" s="68" t="inlineStr">
        <is>
          <t>Adaptador Nano USB Wi-Fi TP-Link TL-WN725N 150Mbps</t>
        </is>
      </c>
      <c r="C49" s="69" t="inlineStr">
        <is>
          <t>Redes y Adaptadores</t>
        </is>
      </c>
      <c r="D49" s="69" t="inlineStr">
        <is>
          <t>TP-Link</t>
        </is>
      </c>
      <c r="E49" s="70" t="inlineStr">
        <is>
          <t>TL-WN725N</t>
        </is>
      </c>
      <c r="F49" s="70" t="inlineStr"/>
      <c r="G49" s="71" t="inlineStr">
        <is>
          <t>6935364050718</t>
        </is>
      </c>
      <c r="H49" s="70" t="inlineStr">
        <is>
          <t>NUEVO</t>
        </is>
      </c>
      <c r="I49" s="72" t="inlineStr">
        <is>
          <t>🟢 En Stock</t>
        </is>
      </c>
      <c r="J49" s="73" t="n">
        <v>2</v>
      </c>
      <c r="K49" s="74" t="n">
        <v>2</v>
      </c>
      <c r="L49" s="70" t="inlineStr">
        <is>
          <t>Caja 1 - Adaptadores</t>
        </is>
      </c>
      <c r="M49" s="75" t="n">
        <v>30244</v>
      </c>
      <c r="N49" s="76" t="n">
        <v>0.3951079021580431</v>
      </c>
      <c r="O49" s="77">
        <f>IF(N49&lt;1, ROUNDUP(M49/(1-N49), -3), M49)</f>
        <v/>
      </c>
      <c r="P49" s="76" t="n">
        <v>0.17</v>
      </c>
      <c r="Q49" s="75">
        <f>IF((1-N49-P49)&gt;0, ROUNDUP((M49+IF(O49&gt;=90000,20000,0))/(1-N49-P49), -3), O49)</f>
        <v/>
      </c>
      <c r="R49" s="75">
        <f>O49</f>
        <v/>
      </c>
      <c r="S49" s="75">
        <f>O49-M49</f>
        <v/>
      </c>
      <c r="T49" s="76">
        <f>IF(O49&gt;0, (O49-M49)/O49, 0)</f>
        <v/>
      </c>
      <c r="U49" s="70" t="inlineStr">
        <is>
          <t>36 Meses (3 Años)</t>
        </is>
      </c>
      <c r="V49" s="69" t="inlineStr">
        <is>
          <t>IMAGENES DE PRODUCTOS/TL-WN725N.webp</t>
        </is>
      </c>
      <c r="W49" s="69" t="inlineStr">
        <is>
          <t>Antena Wi-Fi miniatura de bolsillo. Se conecta a cualquier computador de escritorio o portátil que no tenga Wi-Fi o tenga la tarjeta dañada y le da conexión inmediata a internet sin estorbar. Cuenta con 3 años de garantía.</t>
        </is>
      </c>
      <c r="X49" s="69" t="inlineStr"/>
    </row>
    <row r="50" ht="24" customHeight="1" s="52">
      <c r="A50" s="67" t="inlineStr">
        <is>
          <t>MTS-0047</t>
        </is>
      </c>
      <c r="B50" s="68" t="inlineStr">
        <is>
          <t>Cámara de Seguridad Dahua Bullet Wi-Fi 6 5MP (Sirena, Luz, Audio 2 Vías, IP67)</t>
        </is>
      </c>
      <c r="C50" s="69" t="inlineStr">
        <is>
          <t>Seguridad y Videovigilancia</t>
        </is>
      </c>
      <c r="D50" s="69" t="inlineStr">
        <is>
          <t>Dahua</t>
        </is>
      </c>
      <c r="E50" s="70" t="inlineStr">
        <is>
          <t>DH-F5D-PV-2.8MM</t>
        </is>
      </c>
      <c r="F50" s="70" t="inlineStr"/>
      <c r="G50" s="71" t="inlineStr">
        <is>
          <t>6938596005826</t>
        </is>
      </c>
      <c r="H50" s="70" t="inlineStr">
        <is>
          <t>Nuevo</t>
        </is>
      </c>
      <c r="I50" s="72" t="inlineStr">
        <is>
          <t>⚪ Agotado</t>
        </is>
      </c>
      <c r="J50" s="73" t="n">
        <v>0</v>
      </c>
      <c r="K50" s="74" t="n">
        <v>1</v>
      </c>
      <c r="L50" s="70" t="inlineStr">
        <is>
          <t>Estante C - Seguridad</t>
        </is>
      </c>
      <c r="M50" s="75" t="n">
        <v>154591</v>
      </c>
      <c r="N50" s="76" t="n">
        <v>0.3219663244137035</v>
      </c>
      <c r="O50" s="77">
        <f>IF(N50&lt;1, ROUNDUP(M50/(1-N50), -3), M50)</f>
        <v/>
      </c>
      <c r="P50" s="76" t="n">
        <v>0.16</v>
      </c>
      <c r="Q50" s="75">
        <f>IF((1-N50-P50)&gt;0, ROUNDUP((M50+IF(O50&gt;=90000,20000,0))/(1-N50-P50), -3), O50)</f>
        <v/>
      </c>
      <c r="R50" s="75">
        <f>O50</f>
        <v/>
      </c>
      <c r="S50" s="75">
        <f>O50-M50</f>
        <v/>
      </c>
      <c r="T50" s="76">
        <f>IF(O50&gt;0, (O50-M50)/O50, 0)</f>
        <v/>
      </c>
      <c r="U50" s="70" t="inlineStr">
        <is>
          <t>12 Meses</t>
        </is>
      </c>
      <c r="V50" s="69" t="inlineStr">
        <is>
          <t>identidad visual max tech/Logo MAX Tech.png</t>
        </is>
      </c>
      <c r="W50" s="69" t="inlineStr">
        <is>
          <t>Cámara de vigilancia inteligente con video 5MP de alta claridad y conexión Wi-Fi 6. Puedes ver en vivo y escuchar desde tu celular desde cualquier lugar. Si detecta personas no autorizadas, activa una luz disuasoria roja/azul y una sirena. Es resistente al agua y lluvia (IP67) y graba en tarjeta MicroSD.</t>
        </is>
      </c>
      <c r="X50" s="69" t="inlineStr">
        <is>
          <t>Funciona con la app oficial DMSS.</t>
        </is>
      </c>
    </row>
    <row r="51" ht="24" customHeight="1" s="52">
      <c r="A51" s="67" t="inlineStr">
        <is>
          <t>MTS-0048</t>
        </is>
      </c>
      <c r="B51" s="68" t="inlineStr">
        <is>
          <t>Impresora Multifuncional Epson EcoTank L6490 Tanque de Tinta Wi-Fi Dúplex ADF</t>
        </is>
      </c>
      <c r="C51" s="69" t="inlineStr">
        <is>
          <t>Impresión y Multifuncionales</t>
        </is>
      </c>
      <c r="D51" s="69" t="inlineStr">
        <is>
          <t>Epson</t>
        </is>
      </c>
      <c r="E51" s="70" t="inlineStr">
        <is>
          <t>C11CJ88301</t>
        </is>
      </c>
      <c r="F51" s="70" t="inlineStr"/>
      <c r="G51" s="71" t="inlineStr">
        <is>
          <t>010343958937</t>
        </is>
      </c>
      <c r="H51" s="70" t="inlineStr">
        <is>
          <t>Nuevo</t>
        </is>
      </c>
      <c r="I51" s="72" t="inlineStr">
        <is>
          <t>⚪ Agotado</t>
        </is>
      </c>
      <c r="J51" s="73" t="n">
        <v>0</v>
      </c>
      <c r="K51" s="74" t="n">
        <v>2</v>
      </c>
      <c r="L51" s="70" t="inlineStr">
        <is>
          <t>Bodega Principal</t>
        </is>
      </c>
      <c r="M51" s="75" t="n">
        <v>1393124</v>
      </c>
      <c r="N51" s="76" t="n">
        <v>0.2002727900532664</v>
      </c>
      <c r="O51" s="77">
        <f>IF(N51&lt;1, ROUNDUP(M51/(1-N51), -3), M51)</f>
        <v/>
      </c>
      <c r="P51" s="76" t="n">
        <v>0.15</v>
      </c>
      <c r="Q51" s="75">
        <f>IF((1-N51-P51)&gt;0, ROUNDUP((M51+IF(O51&gt;=90000,20000,0))/(1-N51-P51), -3), O51)</f>
        <v/>
      </c>
      <c r="R51" s="75">
        <f>O51</f>
        <v/>
      </c>
      <c r="S51" s="75">
        <f>O51-M51</f>
        <v/>
      </c>
      <c r="T51" s="76">
        <f>IF(O51&gt;0, (O51-M51)/O51, 0)</f>
        <v/>
      </c>
      <c r="U51" s="70" t="inlineStr">
        <is>
          <t>12 Meses (2 Años con registro)</t>
        </is>
      </c>
      <c r="V51" s="69" t="inlineStr">
        <is>
          <t>identidad visual max tech/Logo MAX Tech.png</t>
        </is>
      </c>
      <c r="W51" s="69" t="inlineStr">
        <is>
          <t>Impresora de alto rendimiento a tanque de tinta continua (EcoTank). Imprime por ambas caras de forma automática, tiene alimentador de hojas automático para escanear muchas páginas solas, pantalla táctil a color y conexión Wi-Fi para imprimir desde el celular o computador. Cada recarga rinde miles de páginas a un costo mínimo.</t>
        </is>
      </c>
      <c r="X51" s="69" t="inlineStr">
        <is>
          <t>Tinta pigmentada resistente al agua.</t>
        </is>
      </c>
    </row>
    <row r="52" ht="24" customHeight="1" s="52">
      <c r="A52" s="67" t="inlineStr">
        <is>
          <t>MTS-0049</t>
        </is>
      </c>
      <c r="B52" s="68" t="inlineStr">
        <is>
          <t>Impresora Térmica Epson TM-T20III POS de Recibos 80mm/58mm USB + Serial</t>
        </is>
      </c>
      <c r="C52" s="69" t="inlineStr">
        <is>
          <t>Impresión POS y Facturación</t>
        </is>
      </c>
      <c r="D52" s="69" t="inlineStr">
        <is>
          <t>Epson</t>
        </is>
      </c>
      <c r="E52" s="70" t="inlineStr">
        <is>
          <t>C31CH51001</t>
        </is>
      </c>
      <c r="F52" s="70" t="inlineStr"/>
      <c r="G52" s="71" t="inlineStr">
        <is>
          <t>010343951112</t>
        </is>
      </c>
      <c r="H52" s="70" t="inlineStr">
        <is>
          <t>Nuevo</t>
        </is>
      </c>
      <c r="I52" s="72" t="inlineStr">
        <is>
          <t>⚪ Agotado</t>
        </is>
      </c>
      <c r="J52" s="73" t="n">
        <v>0</v>
      </c>
      <c r="K52" s="74" t="n">
        <v>1</v>
      </c>
      <c r="L52" s="70" t="inlineStr">
        <is>
          <t>Bodega Principal</t>
        </is>
      </c>
      <c r="M52" s="75" t="n">
        <v>608875</v>
      </c>
      <c r="N52" s="76" t="n">
        <v>0.2501530174298244</v>
      </c>
      <c r="O52" s="77">
        <f>IF(N52&lt;1, ROUNDUP(M52/(1-N52), -3), M52)</f>
        <v/>
      </c>
      <c r="P52" s="76" t="n">
        <v>0.16</v>
      </c>
      <c r="Q52" s="75">
        <f>IF((1-N52-P52)&gt;0, ROUNDUP((M52+IF(O52&gt;=90000,20000,0))/(1-N52-P52), -3), O52)</f>
        <v/>
      </c>
      <c r="R52" s="75">
        <f>O52</f>
        <v/>
      </c>
      <c r="S52" s="75">
        <f>O52-M52</f>
        <v/>
      </c>
      <c r="T52" s="76">
        <f>IF(O52&gt;0, (O52-M52)/O52, 0)</f>
        <v/>
      </c>
      <c r="U52" s="70" t="inlineStr">
        <is>
          <t>36 Meses (3 Años)</t>
        </is>
      </c>
      <c r="V52" s="69" t="inlineStr">
        <is>
          <t>identidad visual max tech/Logo MAX Tech.png</t>
        </is>
      </c>
      <c r="W52" s="69" t="inlineStr">
        <is>
          <t>Impresora térmica de recibos y facturas para puntos de venta, restaurantes, farmacias y comercios. No usa tinta (imprime por calor en papel térmico), imprime muy rápido y corta el papel de forma automática. Compatible con cualquier software contable o de facturación electrónica.</t>
        </is>
      </c>
      <c r="X52" s="69" t="inlineStr">
        <is>
          <t>3 años de garantía Epson.</t>
        </is>
      </c>
    </row>
    <row r="53" ht="24" customHeight="1" s="52">
      <c r="A53" s="67" t="inlineStr">
        <is>
          <t>MTS-0050</t>
        </is>
      </c>
      <c r="B53" s="68" t="inlineStr">
        <is>
          <t>Memoria USB Kingston 128GB DataTraveler Exodia S USB 3.2</t>
        </is>
      </c>
      <c r="C53" s="69" t="inlineStr">
        <is>
          <t>Almacenamiento y Memorias</t>
        </is>
      </c>
      <c r="D53" s="69" t="inlineStr">
        <is>
          <t>Kingston</t>
        </is>
      </c>
      <c r="E53" s="70" t="inlineStr">
        <is>
          <t>DTXS/128GB</t>
        </is>
      </c>
      <c r="F53" s="70" t="inlineStr"/>
      <c r="G53" s="71" t="inlineStr">
        <is>
          <t>740617329582</t>
        </is>
      </c>
      <c r="H53" s="70" t="inlineStr">
        <is>
          <t>Nuevo</t>
        </is>
      </c>
      <c r="I53" s="72" t="inlineStr">
        <is>
          <t>⚪ Agotado</t>
        </is>
      </c>
      <c r="J53" s="73" t="n">
        <v>0</v>
      </c>
      <c r="K53" s="74" t="n">
        <v>2</v>
      </c>
      <c r="L53" s="70" t="inlineStr">
        <is>
          <t>Vitrina Accesorios</t>
        </is>
      </c>
      <c r="M53" s="75" t="n">
        <v>29036</v>
      </c>
      <c r="N53" s="76" t="n">
        <v>0.4074164778873038</v>
      </c>
      <c r="O53" s="77">
        <f>IF(N53&lt;1, ROUNDUP(M53/(1-N53), -3), M53)</f>
        <v/>
      </c>
      <c r="P53" s="76" t="n">
        <v>0.17</v>
      </c>
      <c r="Q53" s="75">
        <f>IF((1-N53-P53)&gt;0, ROUNDUP((M53+IF(O53&gt;=90000,20000,0))/(1-N53-P53), -3), O53)</f>
        <v/>
      </c>
      <c r="R53" s="75">
        <f>O53</f>
        <v/>
      </c>
      <c r="S53" s="75">
        <f>O53-M53</f>
        <v/>
      </c>
      <c r="T53" s="76">
        <f>IF(O53&gt;0, (O53-M53)/O53, 0)</f>
        <v/>
      </c>
      <c r="U53" s="70" t="inlineStr">
        <is>
          <t>36 Meses (3 Años)</t>
        </is>
      </c>
      <c r="V53" s="69" t="inlineStr">
        <is>
          <t>identidad visual max tech/Logo MAX Tech.png</t>
        </is>
      </c>
      <c r="W53" s="69" t="inlineStr">
        <is>
          <t>Memoria USB de 128GB reales con tecnología USB 3.2 de alta velocidad. Te permite guardar y transportar fotos, videos pesados, música y documentos con rapidez y seguridad. Diseño con tapa protectora y 3 años de garantía.</t>
        </is>
      </c>
      <c r="X53" s="69" t="inlineStr">
        <is>
          <t>3 años de garantía Kingston.</t>
        </is>
      </c>
    </row>
    <row r="54" ht="24" customHeight="1" s="52">
      <c r="A54" s="67" t="inlineStr">
        <is>
          <t>MTS-0051</t>
        </is>
      </c>
      <c r="B54" s="68" t="inlineStr">
        <is>
          <t>Memoria Micro SD ADATA 128GB Alta Resistencia 4K Video V30</t>
        </is>
      </c>
      <c r="C54" s="69" t="inlineStr">
        <is>
          <t>Almacenamiento y Memorias</t>
        </is>
      </c>
      <c r="D54" s="69" t="inlineStr">
        <is>
          <t>ADATA</t>
        </is>
      </c>
      <c r="E54" s="70" t="inlineStr">
        <is>
          <t>AUSDX128GUI3V30SHA2-RA1</t>
        </is>
      </c>
      <c r="F54" s="70" t="inlineStr"/>
      <c r="G54" s="71" t="inlineStr">
        <is>
          <t>4711085934529</t>
        </is>
      </c>
      <c r="H54" s="70" t="inlineStr">
        <is>
          <t>Nuevo</t>
        </is>
      </c>
      <c r="I54" s="72" t="inlineStr">
        <is>
          <t>⚪ Agotado</t>
        </is>
      </c>
      <c r="J54" s="73" t="n">
        <v>0</v>
      </c>
      <c r="K54" s="74" t="n">
        <v>3</v>
      </c>
      <c r="L54" s="70" t="inlineStr">
        <is>
          <t>Vitrina Accesorios</t>
        </is>
      </c>
      <c r="M54" s="75" t="n">
        <v>57126</v>
      </c>
      <c r="N54" s="76" t="n">
        <v>0.3857353304874246</v>
      </c>
      <c r="O54" s="77">
        <f>IF(N54&lt;1, ROUNDUP(M54/(1-N54), -3), M54)</f>
        <v/>
      </c>
      <c r="P54" s="76" t="n">
        <v>0.16</v>
      </c>
      <c r="Q54" s="75">
        <f>IF((1-N54-P54)&gt;0, ROUNDUP((M54+IF(O54&gt;=90000,20000,0))/(1-N54-P54), -3), O54)</f>
        <v/>
      </c>
      <c r="R54" s="75">
        <f>O54</f>
        <v/>
      </c>
      <c r="S54" s="75">
        <f>O54-M54</f>
        <v/>
      </c>
      <c r="T54" s="76">
        <f>IF(O54&gt;0, (O54-M54)/O54, 0)</f>
        <v/>
      </c>
      <c r="U54" s="70" t="inlineStr">
        <is>
          <t>60 Meses (5 Años)</t>
        </is>
      </c>
      <c r="V54" s="69" t="inlineStr">
        <is>
          <t>identidad visual max tech/Logo MAX Tech.png</t>
        </is>
      </c>
      <c r="W54" s="69" t="inlineStr">
        <is>
          <t>Tarjeta de memoria MicroSD de 128GB de grado profesional para grabación continua. Está especialmente diseñada para cámaras de seguridad y dashcams de carro, soportando escritura constante en video 4K sin dañarse ni recalentarse. Incluye 5 años de garantía oficial.</t>
        </is>
      </c>
      <c r="X54" s="69" t="inlineStr">
        <is>
          <t>5 años de garantía ADATA.</t>
        </is>
      </c>
    </row>
    <row r="55" ht="24" customHeight="1" s="52">
      <c r="A55" s="67" t="inlineStr">
        <is>
          <t>MTS-0052</t>
        </is>
      </c>
      <c r="B55" s="68" t="inlineStr">
        <is>
          <t>Memoria Micro SD 128GB Clase 10 con Adaptador SD</t>
        </is>
      </c>
      <c r="C55" s="69" t="inlineStr">
        <is>
          <t>Almacenamiento y Memorias</t>
        </is>
      </c>
      <c r="D55" s="69" t="inlineStr">
        <is>
          <t>Kingston / SanDisk</t>
        </is>
      </c>
      <c r="E55" s="70" t="inlineStr">
        <is>
          <t>ST2-128-S1</t>
        </is>
      </c>
      <c r="F55" s="70" t="inlineStr"/>
      <c r="G55" s="71" t="inlineStr">
        <is>
          <t>740617301281</t>
        </is>
      </c>
      <c r="H55" s="70" t="inlineStr">
        <is>
          <t>Nuevo</t>
        </is>
      </c>
      <c r="I55" s="72" t="inlineStr">
        <is>
          <t>⚪ Agotado</t>
        </is>
      </c>
      <c r="J55" s="73" t="n">
        <v>0</v>
      </c>
      <c r="K55" s="74" t="n">
        <v>3</v>
      </c>
      <c r="L55" s="70" t="inlineStr">
        <is>
          <t>Vitrina Accesorios</t>
        </is>
      </c>
      <c r="M55" s="75" t="n">
        <v>95422</v>
      </c>
      <c r="N55" s="76" t="n">
        <v>0.3508663324240301</v>
      </c>
      <c r="O55" s="77">
        <f>IF(N55&lt;1, ROUNDUP(M55/(1-N55), -3), M55)</f>
        <v/>
      </c>
      <c r="P55" s="76" t="n">
        <v>0.16</v>
      </c>
      <c r="Q55" s="75">
        <f>IF((1-N55-P55)&gt;0, ROUNDUP((M55+IF(O55&gt;=90000,20000,0))/(1-N55-P55), -3), O55)</f>
        <v/>
      </c>
      <c r="R55" s="75">
        <f>O55</f>
        <v/>
      </c>
      <c r="S55" s="75">
        <f>O55-M55</f>
        <v/>
      </c>
      <c r="T55" s="76">
        <f>IF(O55&gt;0, (O55-M55)/O55, 0)</f>
        <v/>
      </c>
      <c r="U55" s="70" t="inlineStr">
        <is>
          <t>24 Meses (2 Años)</t>
        </is>
      </c>
      <c r="V55" s="69" t="inlineStr">
        <is>
          <t>identidad visual max tech/Logo MAX Tech.png</t>
        </is>
      </c>
      <c r="W55" s="69" t="inlineStr">
        <is>
          <t>Tarjeta MicroSD de 128GB Clase 10 para celulares, tablets, consolas de videojuegos o cámaras. Incluye adaptador para tamaño SD estándar.</t>
        </is>
      </c>
      <c r="X55" s="69" t="inlineStr">
        <is>
          <t>2 años de garantía.</t>
        </is>
      </c>
    </row>
    <row r="56" ht="24" customHeight="1" s="52">
      <c r="A56" s="67" t="inlineStr">
        <is>
          <t>MTS-0053</t>
        </is>
      </c>
      <c r="B56" s="68" t="inlineStr">
        <is>
          <t>Cargador Original Lenovo 65W USB Tipo C Laptop</t>
        </is>
      </c>
      <c r="C56" s="69" t="inlineStr">
        <is>
          <t>Cargadores y Fuentes</t>
        </is>
      </c>
      <c r="D56" s="69" t="inlineStr">
        <is>
          <t>Lenovo</t>
        </is>
      </c>
      <c r="E56" s="70" t="inlineStr">
        <is>
          <t>4X20M26268</t>
        </is>
      </c>
      <c r="F56" s="70" t="inlineStr"/>
      <c r="G56" s="71" t="inlineStr">
        <is>
          <t>191999201948</t>
        </is>
      </c>
      <c r="H56" s="70" t="inlineStr">
        <is>
          <t>Nuevo</t>
        </is>
      </c>
      <c r="I56" s="72" t="inlineStr">
        <is>
          <t>⚪ Agotado</t>
        </is>
      </c>
      <c r="J56" s="73" t="n">
        <v>0</v>
      </c>
      <c r="K56" s="74" t="n">
        <v>1</v>
      </c>
      <c r="L56" s="70" t="inlineStr">
        <is>
          <t>Caja 1 - Cargadores</t>
        </is>
      </c>
      <c r="M56" s="75" t="n">
        <v>72202</v>
      </c>
      <c r="N56" s="76" t="n">
        <v>0.3828836143898666</v>
      </c>
      <c r="O56" s="77">
        <f>IF(N56&lt;1, ROUNDUP(M56/(1-N56), -3), M56)</f>
        <v/>
      </c>
      <c r="P56" s="76" t="n">
        <v>0.16</v>
      </c>
      <c r="Q56" s="75">
        <f>IF((1-N56-P56)&gt;0, ROUNDUP((M56+IF(O56&gt;=90000,20000,0))/(1-N56-P56), -3), O56)</f>
        <v/>
      </c>
      <c r="R56" s="75">
        <f>O56</f>
        <v/>
      </c>
      <c r="S56" s="75">
        <f>O56-M56</f>
        <v/>
      </c>
      <c r="T56" s="76">
        <f>IF(O56&gt;0, (O56-M56)/O56, 0)</f>
        <v/>
      </c>
      <c r="U56" s="70" t="inlineStr">
        <is>
          <t>12 Meses Lenovo</t>
        </is>
      </c>
      <c r="V56" s="69" t="inlineStr">
        <is>
          <t>identidad visual max tech/Logo MAX Tech.png</t>
        </is>
      </c>
      <c r="W56" s="69" t="inlineStr">
        <is>
          <t>Cargador original Lenovo de 65W con punta tipo C. Cuenta con carga rápida inteligente y sirve tanto para portátiles Lenovo, Dell, HP, Asus o MacBook, como para celulares modernos con puerto USB-C.</t>
        </is>
      </c>
      <c r="X56" s="69" t="inlineStr">
        <is>
          <t>Cargador original genuino.</t>
        </is>
      </c>
    </row>
    <row r="57" ht="24" customHeight="1" s="52">
      <c r="A57" s="67" t="inlineStr">
        <is>
          <t>MTS-0054</t>
        </is>
      </c>
      <c r="B57" s="68" t="inlineStr">
        <is>
          <t>Licencia Microsoft 365 Familia (1 Año, 6 Usuarios, 1TB OneDrive c/u)</t>
        </is>
      </c>
      <c r="C57" s="69" t="inlineStr">
        <is>
          <t>Software y Licencias</t>
        </is>
      </c>
      <c r="D57" s="69" t="inlineStr">
        <is>
          <t>Microsoft</t>
        </is>
      </c>
      <c r="E57" s="70" t="inlineStr">
        <is>
          <t>EP2-32295</t>
        </is>
      </c>
      <c r="F57" s="70" t="inlineStr"/>
      <c r="G57" s="71" t="inlineStr">
        <is>
          <t>889842861234</t>
        </is>
      </c>
      <c r="H57" s="70" t="inlineStr">
        <is>
          <t>Nuevo</t>
        </is>
      </c>
      <c r="I57" s="72" t="inlineStr">
        <is>
          <t>⚪ Agotado</t>
        </is>
      </c>
      <c r="J57" s="73" t="n">
        <v>0</v>
      </c>
      <c r="K57" s="74" t="n">
        <v>1</v>
      </c>
      <c r="L57" s="70" t="inlineStr">
        <is>
          <t>Bóveda Digital</t>
        </is>
      </c>
      <c r="M57" s="75" t="n">
        <v>253530</v>
      </c>
      <c r="N57" s="76" t="n">
        <v>0.2222982279086746</v>
      </c>
      <c r="O57" s="77">
        <f>IF(N57&lt;1, ROUNDUP(M57/(1-N57), -3), M57)</f>
        <v/>
      </c>
      <c r="P57" s="76" t="n">
        <v>0.15</v>
      </c>
      <c r="Q57" s="75">
        <f>IF((1-N57-P57)&gt;0, ROUNDUP((M57+IF(O57&gt;=90000,20000,0))/(1-N57-P57), -3), O57)</f>
        <v/>
      </c>
      <c r="R57" s="75">
        <f>O57</f>
        <v/>
      </c>
      <c r="S57" s="75">
        <f>O57-M57</f>
        <v/>
      </c>
      <c r="T57" s="76">
        <f>IF(O57&gt;0, (O57-M57)/O57, 0)</f>
        <v/>
      </c>
      <c r="U57" s="70" t="inlineStr">
        <is>
          <t>12 Meses Soporte Microsoft</t>
        </is>
      </c>
      <c r="V57" s="69" t="inlineStr">
        <is>
          <t>identidad visual max tech/Logo MAX Tech.png</t>
        </is>
      </c>
      <c r="W57" s="69" t="inlineStr">
        <is>
          <t>Suscripción oficial por 1 año para hasta 6 personas de tu familia o equipo. Cada persona recibe Word, Excel, PowerPoint y Outlook actualizados para PC, Mac o celular, más 1.000 GB (1 Terabyte) de almacenamiento seguro en la nube OneDrive.</t>
        </is>
      </c>
      <c r="X57" s="69" t="inlineStr">
        <is>
          <t>Código de activación oficial 100% legal.</t>
        </is>
      </c>
    </row>
    <row r="58" ht="24" customHeight="1" s="52">
      <c r="A58" s="67" t="inlineStr">
        <is>
          <t>MTS-0055</t>
        </is>
      </c>
      <c r="B58" s="68" t="inlineStr">
        <is>
          <t>Impresora Multifuncional HP LaserJet MFP Láser Monocromática</t>
        </is>
      </c>
      <c r="C58" s="69" t="inlineStr">
        <is>
          <t>Impresión y Multifuncionales</t>
        </is>
      </c>
      <c r="D58" s="69" t="inlineStr">
        <is>
          <t>HP</t>
        </is>
      </c>
      <c r="E58" s="70" t="inlineStr">
        <is>
          <t>HP LaserJet MFP</t>
        </is>
      </c>
      <c r="F58" s="70" t="inlineStr"/>
      <c r="G58" s="71" t="inlineStr">
        <is>
          <t>192018349120</t>
        </is>
      </c>
      <c r="H58" s="70" t="inlineStr">
        <is>
          <t>Nuevo</t>
        </is>
      </c>
      <c r="I58" s="72" t="inlineStr">
        <is>
          <t>⚪ Agotado</t>
        </is>
      </c>
      <c r="J58" s="73" t="n">
        <v>0</v>
      </c>
      <c r="K58" s="74" t="n">
        <v>1</v>
      </c>
      <c r="L58" s="70" t="inlineStr">
        <is>
          <t>Bodega Principal</t>
        </is>
      </c>
      <c r="M58" s="75" t="n">
        <v>780250</v>
      </c>
      <c r="N58" s="76" t="n">
        <v>0.2504795873963376</v>
      </c>
      <c r="O58" s="77">
        <f>IF(N58&lt;1, ROUNDUP(M58/(1-N58), -3), M58)</f>
        <v/>
      </c>
      <c r="P58" s="76" t="n">
        <v>0.16</v>
      </c>
      <c r="Q58" s="75">
        <f>IF((1-N58-P58)&gt;0, ROUNDUP((M58+IF(O58&gt;=90000,20000,0))/(1-N58-P58), -3), O58)</f>
        <v/>
      </c>
      <c r="R58" s="75">
        <f>O58</f>
        <v/>
      </c>
      <c r="S58" s="75">
        <f>O58-M58</f>
        <v/>
      </c>
      <c r="T58" s="76">
        <f>IF(O58&gt;0, (O58-M58)/O58, 0)</f>
        <v/>
      </c>
      <c r="U58" s="70" t="inlineStr">
        <is>
          <t>12 Meses HP</t>
        </is>
      </c>
      <c r="V58" s="69" t="inlineStr">
        <is>
          <t>identidad visual max tech/Logo MAX Tech.png</t>
        </is>
      </c>
      <c r="W58" s="69" t="inlineStr">
        <is>
          <t>Impresora láser multifuncional (imprime, copia y escanea) en blanco y negro. La impresión láser es ultranítida, el texto no se corre con el agua y el tóner nunca se seca aunque pases meses sin imprimir. Perfecta para oficinas, negocios y despachos que requieren documentos impecables.</t>
        </is>
      </c>
      <c r="X58" s="69" t="inlineStr">
        <is>
          <t>Tóner láser de alta duración.</t>
        </is>
      </c>
    </row>
    <row r="59" ht="24" customHeight="1" s="52">
      <c r="A59" s="67" t="inlineStr">
        <is>
          <t>MTS-0056</t>
        </is>
      </c>
      <c r="B59" s="68" t="inlineStr">
        <is>
          <t>Mouse Inalámbrico Logitech M170 Óptico Color Rojo</t>
        </is>
      </c>
      <c r="C59" s="69" t="inlineStr">
        <is>
          <t>Periféricos y Accesorios</t>
        </is>
      </c>
      <c r="D59" s="69" t="inlineStr">
        <is>
          <t>Logitech</t>
        </is>
      </c>
      <c r="E59" s="70" t="inlineStr">
        <is>
          <t>910-004941</t>
        </is>
      </c>
      <c r="F59" s="70" t="inlineStr"/>
      <c r="G59" s="71" t="inlineStr">
        <is>
          <t>097855122711</t>
        </is>
      </c>
      <c r="H59" s="70" t="inlineStr">
        <is>
          <t>Nuevo</t>
        </is>
      </c>
      <c r="I59" s="72" t="inlineStr">
        <is>
          <t>⚪ Agotado</t>
        </is>
      </c>
      <c r="J59" s="73" t="n">
        <v>0</v>
      </c>
      <c r="K59" s="74" t="n">
        <v>1</v>
      </c>
      <c r="L59" s="70" t="inlineStr">
        <is>
          <t>Vitrina Accesorios</t>
        </is>
      </c>
      <c r="M59" s="75" t="n">
        <v>39705</v>
      </c>
      <c r="N59" s="76" t="n">
        <v>0.4073792146151435</v>
      </c>
      <c r="O59" s="77">
        <f>IF(N59&lt;1, ROUNDUP(M59/(1-N59), -3), M59)</f>
        <v/>
      </c>
      <c r="P59" s="76" t="n">
        <v>0.17</v>
      </c>
      <c r="Q59" s="75">
        <f>IF((1-N59-P59)&gt;0, ROUNDUP((M59+IF(O59&gt;=90000,20000,0))/(1-N59-P59), -3), O59)</f>
        <v/>
      </c>
      <c r="R59" s="75">
        <f>O59</f>
        <v/>
      </c>
      <c r="S59" s="75">
        <f>O59-M59</f>
        <v/>
      </c>
      <c r="T59" s="76">
        <f>IF(O59&gt;0, (O59-M59)/O59, 0)</f>
        <v/>
      </c>
      <c r="U59" s="70" t="inlineStr">
        <is>
          <t>12 Meses Logitech</t>
        </is>
      </c>
      <c r="V59" s="69" t="inlineStr">
        <is>
          <t>identidad visual max tech/Logo MAX Tech.png</t>
        </is>
      </c>
      <c r="W59" s="69" t="inlineStr">
        <is>
          <t>Mouse inalámbrico compacto y supercómodo en color rojo. Se conecta con un pequeño receptor USB y funciona hasta a 10 metros de distancia. Su pila dura hasta 12 meses continuos sin necesidad de cambiarla y es compatible con cualquier computador.</t>
        </is>
      </c>
      <c r="X59" s="69" t="inlineStr">
        <is>
          <t>1 año de batería incluida.</t>
        </is>
      </c>
    </row>
    <row r="60" ht="26.1" customHeight="1" s="52">
      <c r="A60" s="67" t="inlineStr">
        <is>
          <t>MTS-0057</t>
        </is>
      </c>
      <c r="B60" s="68" t="inlineStr">
        <is>
          <t>Memoria RAM Samsung 8GB DDR4 2400MHz SODIMM para Portátil (PC4-2400T)</t>
        </is>
      </c>
      <c r="C60" s="69" t="inlineStr">
        <is>
          <t>Almacenamiento y Memorias</t>
        </is>
      </c>
      <c r="D60" s="69" t="inlineStr">
        <is>
          <t>Samsung</t>
        </is>
      </c>
      <c r="E60" s="70" t="inlineStr">
        <is>
          <t>M471A1K43CB1-CRC</t>
        </is>
      </c>
      <c r="F60" s="70" t="inlineStr">
        <is>
          <t>Verde</t>
        </is>
      </c>
      <c r="G60" s="70" t="inlineStr">
        <is>
          <t>Sin código</t>
        </is>
      </c>
      <c r="H60" s="70" t="inlineStr">
        <is>
          <t>REMANUFACTURADO</t>
        </is>
      </c>
      <c r="I60" s="72" t="inlineStr">
        <is>
          <t>⚪ Agotado</t>
        </is>
      </c>
      <c r="J60" s="73" t="n">
        <v>0</v>
      </c>
      <c r="K60" s="74" t="n">
        <v>0</v>
      </c>
      <c r="L60" s="70" t="inlineStr">
        <is>
          <t>Taller</t>
        </is>
      </c>
      <c r="M60" s="75" t="n">
        <v>180000</v>
      </c>
      <c r="N60" s="76" t="n">
        <v>0.199996444428642</v>
      </c>
      <c r="O60" s="77">
        <f>IF(N60&lt;1, ROUNDUP(M60/(1-N60), -3), M60)</f>
        <v/>
      </c>
      <c r="P60" s="76" t="n">
        <v>0.16</v>
      </c>
      <c r="Q60" s="75">
        <f>IF((1-N60-P60)&gt;0, ROUNDUP((M60+IF(O60&gt;=90000,20000,0))/(1-N60-P60), -3), O60)</f>
        <v/>
      </c>
      <c r="R60" s="75">
        <f>O60</f>
        <v/>
      </c>
      <c r="S60" s="75">
        <f>O60-M60</f>
        <v/>
      </c>
      <c r="T60" s="76">
        <f>IF(O60&gt;0, (O60-M60)/O60, 0)</f>
        <v/>
      </c>
      <c r="U60" s="70" t="inlineStr">
        <is>
          <t>Sin garantía</t>
        </is>
      </c>
      <c r="V60" s="69" t="inlineStr">
        <is>
          <t>IMAGENES DE PRODUCTOS/DDR4_8GB_2400MHZ.webp</t>
        </is>
      </c>
      <c r="W60" s="69" t="inlineStr">
        <is>
          <t>• Capacidad: 8 GB
• Tipo: Memoria RAM DDR4 SODIMM para computadores portátiles / laptops
• Frecuencia / Velocidad: 2400 MHz (PC4-2400T)
• Formato: 260 pines SODIMM
• Voltaje: 1.2V
• Latencia: CL17
• Ideal para repotenciar y acelerar portátiles de diversas marcas (HP, Lenovo, Dell, Asus, Acer).</t>
        </is>
      </c>
      <c r="X60" s="69" t="inlineStr">
        <is>
          <t>100% testeada con MemTest86 en taller.</t>
        </is>
      </c>
    </row>
    <row r="61">
      <c r="A61" s="78" t="inlineStr">
        <is>
          <t>MTS-0058</t>
        </is>
      </c>
      <c r="B61" s="79" t="inlineStr">
        <is>
          <t>Botella de Tinta Original Epson T504 Magenta</t>
        </is>
      </c>
      <c r="C61" s="80" t="inlineStr">
        <is>
          <t>Tintas y Suministros</t>
        </is>
      </c>
      <c r="D61" s="80" t="inlineStr">
        <is>
          <t>Epson</t>
        </is>
      </c>
      <c r="E61" s="81" t="inlineStr">
        <is>
          <t>T504320-AL</t>
        </is>
      </c>
      <c r="F61" s="81" t="inlineStr">
        <is>
          <t>Magenta</t>
        </is>
      </c>
      <c r="G61" s="81" t="inlineStr"/>
      <c r="H61" s="81" t="inlineStr">
        <is>
          <t>NUEVO</t>
        </is>
      </c>
      <c r="I61" s="82" t="inlineStr">
        <is>
          <t>🟢 En Stock</t>
        </is>
      </c>
      <c r="J61" s="83" t="n">
        <v>1</v>
      </c>
      <c r="K61" s="84" t="n">
        <v>1</v>
      </c>
      <c r="L61" s="84" t="inlineStr">
        <is>
          <t>Taller</t>
        </is>
      </c>
      <c r="M61" s="85" t="n">
        <v>20000</v>
      </c>
      <c r="N61" s="86" t="n">
        <v>0.3333111103703457</v>
      </c>
      <c r="O61" s="87">
        <f>IF(N61&lt;1, ROUNDUP(M61/(1-N61), -3), M61)</f>
        <v/>
      </c>
      <c r="P61" s="86" t="n">
        <v>0.16</v>
      </c>
      <c r="Q61" s="85">
        <f>IF((1-N61-P61)&gt;0, ROUNDUP((M61+IF(O61&gt;=90000,20000,0))/(1-N61-P61), -3), O61)</f>
        <v/>
      </c>
      <c r="R61" s="85">
        <f>O61</f>
        <v/>
      </c>
      <c r="S61" s="85">
        <f>O61-M61</f>
        <v/>
      </c>
      <c r="T61" s="86">
        <f>IF(O61&gt;0, (O61-M61)/O61, 0)</f>
        <v/>
      </c>
      <c r="U61" s="84" t="inlineStr">
        <is>
          <t>0</t>
        </is>
      </c>
      <c r="V61" s="88" t="inlineStr">
        <is>
          <t>IMAGENES DE PRODUCTOS/t504302.jpg</t>
        </is>
      </c>
      <c r="W61" s="88" t="inlineStr"/>
      <c r="X61" s="88" t="inlineStr"/>
    </row>
    <row r="62">
      <c r="A62" s="89" t="inlineStr">
        <is>
          <t>MTS-0059</t>
        </is>
      </c>
      <c r="B62" s="79" t="inlineStr">
        <is>
          <t>cale usb para impresora 1.5 Mtrs</t>
        </is>
      </c>
      <c r="C62" s="80" t="inlineStr">
        <is>
          <t>Tintas y Suministros</t>
        </is>
      </c>
      <c r="D62" s="80" t="inlineStr"/>
      <c r="E62" s="81" t="inlineStr"/>
      <c r="F62" s="81" t="inlineStr">
        <is>
          <t>gris</t>
        </is>
      </c>
      <c r="G62" s="81" t="inlineStr">
        <is>
          <t>80182</t>
        </is>
      </c>
      <c r="H62" s="81" t="inlineStr">
        <is>
          <t>NUEVO</t>
        </is>
      </c>
      <c r="I62" s="82" t="inlineStr">
        <is>
          <t>🟢 En Stock</t>
        </is>
      </c>
      <c r="J62" s="82" t="n">
        <v>1</v>
      </c>
      <c r="K62" s="81" t="n">
        <v>1</v>
      </c>
      <c r="L62" s="81" t="inlineStr">
        <is>
          <t>Taller</t>
        </is>
      </c>
      <c r="M62" s="90" t="n">
        <v>8000</v>
      </c>
      <c r="N62" s="91" t="n">
        <v>0.3332777731477623</v>
      </c>
      <c r="O62" s="92">
        <f>IF(N62&lt;1, ROUNDUP(M62/(1-N62), -3), M62)</f>
        <v/>
      </c>
      <c r="P62" s="91" t="n">
        <v>0.16</v>
      </c>
      <c r="Q62" s="90">
        <f>IF((1-N62-P62)&gt;0, ROUNDUP((M62+IF(O62&gt;=90000,20000,0))/(1-N62-P62), -3), O62)</f>
        <v/>
      </c>
      <c r="R62" s="90">
        <f>O62</f>
        <v/>
      </c>
      <c r="S62" s="90">
        <f>O62-M62</f>
        <v/>
      </c>
      <c r="T62" s="91">
        <f>IF(O62&gt;0, (O62-M62)/O62, 0)</f>
        <v/>
      </c>
      <c r="U62" s="81" t="inlineStr">
        <is>
          <t>Garantía oficial</t>
        </is>
      </c>
      <c r="V62" s="80" t="inlineStr">
        <is>
          <t>IMAGENES DE PRODUCTOS/cable_usb_para_impresora_1.5_mtrs.webp</t>
        </is>
      </c>
      <c r="W62" s="80" t="inlineStr"/>
      <c r="X62" s="80" t="inlineStr"/>
    </row>
    <row r="63">
      <c r="A63" s="89" t="inlineStr">
        <is>
          <t>MTS-0060</t>
        </is>
      </c>
      <c r="B63" s="79" t="inlineStr">
        <is>
          <t>Hub USB 3.0 4 Puertos Follow Me</t>
        </is>
      </c>
      <c r="C63" s="80" t="inlineStr">
        <is>
          <t>Tintas y Suministros</t>
        </is>
      </c>
      <c r="D63" s="80" t="inlineStr">
        <is>
          <t>Follow me</t>
        </is>
      </c>
      <c r="E63" s="81" t="inlineStr"/>
      <c r="F63" s="81" t="inlineStr"/>
      <c r="G63" s="81" t="inlineStr"/>
      <c r="H63" s="81" t="inlineStr">
        <is>
          <t>NUEVO</t>
        </is>
      </c>
      <c r="I63" s="82" t="inlineStr">
        <is>
          <t>🟢 En Stock</t>
        </is>
      </c>
      <c r="J63" s="82" t="n">
        <v>1</v>
      </c>
      <c r="K63" s="81" t="n">
        <v>1</v>
      </c>
      <c r="L63" s="81" t="inlineStr">
        <is>
          <t>Taller</t>
        </is>
      </c>
      <c r="M63" s="90" t="n">
        <v>8000</v>
      </c>
      <c r="N63" s="91" t="n">
        <v>0.3332777731477623</v>
      </c>
      <c r="O63" s="92">
        <f>IF(N63&lt;1, ROUNDUP(M63/(1-N63), -3), M63)</f>
        <v/>
      </c>
      <c r="P63" s="91" t="n">
        <v>0.16</v>
      </c>
      <c r="Q63" s="90">
        <f>IF((1-N63-P63)&gt;0, ROUNDUP((M63+IF(O63&gt;=90000,20000,0))/(1-N63-P63), -3), O63)</f>
        <v/>
      </c>
      <c r="R63" s="90">
        <f>O63</f>
        <v/>
      </c>
      <c r="S63" s="90">
        <f>O63-M63</f>
        <v/>
      </c>
      <c r="T63" s="91">
        <f>IF(O63&gt;0, (O63-M63)/O63, 0)</f>
        <v/>
      </c>
      <c r="U63" s="81" t="inlineStr">
        <is>
          <t>Garantía oficial</t>
        </is>
      </c>
      <c r="V63" s="80" t="inlineStr">
        <is>
          <t>IMAGENES DE PRODUCTOS/Hub-USB-3-4-Puertos-FollowMe-3565-1.webp</t>
        </is>
      </c>
      <c r="W63" s="80" t="inlineStr"/>
      <c r="X63" s="80" t="inlineStr"/>
    </row>
    <row r="64">
      <c r="A64" s="89" t="inlineStr">
        <is>
          <t>MTS-0061</t>
        </is>
      </c>
      <c r="B64" s="79" t="inlineStr">
        <is>
          <t>Disco Estado Sólido SSD M.2 NVMe 1TB ADATA Legend 710 PCIe Gen3 x4</t>
        </is>
      </c>
      <c r="C64" s="80" t="inlineStr">
        <is>
          <t>Almacenamiento y Memorias</t>
        </is>
      </c>
      <c r="D64" s="80" t="inlineStr">
        <is>
          <t>ADATA</t>
        </is>
      </c>
      <c r="E64" s="81" t="inlineStr">
        <is>
          <t>ALEG-710-1TCS</t>
        </is>
      </c>
      <c r="F64" s="81" t="inlineStr">
        <is>
          <t>Azul / Negro</t>
        </is>
      </c>
      <c r="G64" s="81" t="inlineStr">
        <is>
          <t>4711085635398</t>
        </is>
      </c>
      <c r="H64" s="81" t="inlineStr">
        <is>
          <t>NUEVO</t>
        </is>
      </c>
      <c r="I64" s="82" t="inlineStr">
        <is>
          <t>🟢 En Stock</t>
        </is>
      </c>
      <c r="J64" s="82" t="n">
        <v>3</v>
      </c>
      <c r="K64" s="81" t="n">
        <v>3</v>
      </c>
      <c r="L64" s="81" t="inlineStr">
        <is>
          <t>Vitrina Accesorios / Taller</t>
        </is>
      </c>
      <c r="M64" s="90" t="n">
        <v>530000</v>
      </c>
      <c r="N64" s="91" t="n">
        <v>0.131146116632978</v>
      </c>
      <c r="O64" s="92">
        <f>IF(N64&lt;1, ROUNDUP(M64/(1-N64), -3), M64)</f>
        <v/>
      </c>
      <c r="P64" s="91" t="n">
        <v>0.16</v>
      </c>
      <c r="Q64" s="90">
        <f>IF((1-N64-P64)&gt;0, ROUNDUP((M64+IF(O64&gt;=90000,20000,0))/(1-N64-P64), -3), O64)</f>
        <v/>
      </c>
      <c r="R64" s="90">
        <f>O64</f>
        <v/>
      </c>
      <c r="S64" s="90">
        <f>O64-M64</f>
        <v/>
      </c>
      <c r="T64" s="91">
        <f>IF(O64&gt;0, (O64-M64)/O64, 0)</f>
        <v/>
      </c>
      <c r="U64" s="81" t="inlineStr">
        <is>
          <t>6 Meses</t>
        </is>
      </c>
      <c r="V64" s="80" t="inlineStr">
        <is>
          <t>IMAGENES DE PRODUCTOS/ADATA_LEGEND_710_1TB.jpg</t>
        </is>
      </c>
      <c r="W64" s="80" t="inlineStr">
        <is>
          <t>• Capacidad: 1 TB (1000 GB)
• Formato: M.2 2280
• Interfaz: PCIe Gen3 x4 NVMe 1.4
• Velocidad de lectura secuencial: Hasta 2.400 MB/s
• Velocidad de escritura secuencial: Hasta 1.800 MB/s
• Disipador térmico de aluminio incluido (reduce temperatura hasta 15%)
• Compatible con PCs de escritorio y portátiles con slot M.2 NVMe.</t>
        </is>
      </c>
      <c r="X64" s="80" t="inlineStr">
        <is>
          <t xml:space="preserve"> | 1 unidad nueva ingresada (Serial: 4P2220399418, Factura FEVO 34572).</t>
        </is>
      </c>
    </row>
    <row r="65">
      <c r="A65" s="89" t="inlineStr">
        <is>
          <t>MTS-0062</t>
        </is>
      </c>
      <c r="B65" s="79" t="inlineStr">
        <is>
          <t>Teclado para Portátil Acer Aspire E1-470 E5-471P V3-472 3830T 4830 Negro Español</t>
        </is>
      </c>
      <c r="C65" s="80" t="inlineStr">
        <is>
          <t>Periféricos y Accesorios</t>
        </is>
      </c>
      <c r="D65" s="80" t="inlineStr">
        <is>
          <t>Acer / Compatible</t>
        </is>
      </c>
      <c r="E65" s="81" t="inlineStr">
        <is>
          <t>00002272</t>
        </is>
      </c>
      <c r="F65" s="81" t="inlineStr">
        <is>
          <t>Negro</t>
        </is>
      </c>
      <c r="G65" s="81" t="inlineStr">
        <is>
          <t>Sin código</t>
        </is>
      </c>
      <c r="H65" s="81" t="inlineStr">
        <is>
          <t>NUEVO</t>
        </is>
      </c>
      <c r="I65" s="82" t="inlineStr">
        <is>
          <t>🟢 En Stock</t>
        </is>
      </c>
      <c r="J65" s="82" t="n">
        <v>1</v>
      </c>
      <c r="K65" s="81" t="n">
        <v>1</v>
      </c>
      <c r="L65" s="81" t="inlineStr">
        <is>
          <t>Taller - Repuestos</t>
        </is>
      </c>
      <c r="M65" s="90" t="n">
        <v>50000</v>
      </c>
      <c r="N65" s="91" t="n">
        <v>0.3055459103598661</v>
      </c>
      <c r="O65" s="92">
        <f>IF(N65&lt;1, ROUNDUP(M65/(1-N65), -3), M65)</f>
        <v/>
      </c>
      <c r="P65" s="91" t="n">
        <v>0.16</v>
      </c>
      <c r="Q65" s="90">
        <f>IF((1-N65-P65)&gt;0, ROUNDUP((M65+IF(O65&gt;=90000,20000,0))/(1-N65-P65), -3), O65)</f>
        <v/>
      </c>
      <c r="R65" s="90">
        <f>O65</f>
        <v/>
      </c>
      <c r="S65" s="90">
        <f>O65-M65</f>
        <v/>
      </c>
      <c r="T65" s="91">
        <f>IF(O65&gt;0, (O65-M65)/O65, 0)</f>
        <v/>
      </c>
      <c r="U65" s="81" t="inlineStr">
        <is>
          <t>6 Meses</t>
        </is>
      </c>
      <c r="V65" s="80" t="inlineStr">
        <is>
          <t>identidad visual max tech/Logo MAX Tech.png</t>
        </is>
      </c>
      <c r="W65" s="80" t="inlineStr">
        <is>
          <t>• Idioma / Distribución: Español con letra Ñ
• Color: Negro mate
• Compatibilidad: Acer Aspire E1-470, E1-470G, E1-472, E5-471, E5-471P, V3-472, 3830, 3830T, 4830, 4830T
• Tipo de repuesto: Teclado de reemplazo de alta respuesta táctil.</t>
        </is>
      </c>
      <c r="X65" s="80" t="inlineStr">
        <is>
          <t>Serial: 2F50031050103. Factura FEVO 33009.</t>
        </is>
      </c>
    </row>
    <row r="66">
      <c r="A66" s="89" t="inlineStr">
        <is>
          <t>MTS-0063</t>
        </is>
      </c>
      <c r="B66" s="79" t="inlineStr">
        <is>
          <t>Disco Estado Sólido SSD 2.5" SATA III 240GB ADATA Ultimate SU650</t>
        </is>
      </c>
      <c r="C66" s="80" t="inlineStr">
        <is>
          <t>Almacenamiento y Memorias</t>
        </is>
      </c>
      <c r="D66" s="80" t="inlineStr">
        <is>
          <t>ADATA</t>
        </is>
      </c>
      <c r="E66" s="81" t="inlineStr">
        <is>
          <t>ASU650SS-240GT-R</t>
        </is>
      </c>
      <c r="F66" s="81" t="inlineStr">
        <is>
          <t>Negro</t>
        </is>
      </c>
      <c r="G66" s="81" t="inlineStr">
        <is>
          <t>4713435793672</t>
        </is>
      </c>
      <c r="H66" s="81" t="inlineStr">
        <is>
          <t>NUEVO</t>
        </is>
      </c>
      <c r="I66" s="82" t="inlineStr">
        <is>
          <t>🟢 En Stock</t>
        </is>
      </c>
      <c r="J66" s="82" t="n">
        <v>1</v>
      </c>
      <c r="K66" s="81" t="n">
        <v>1</v>
      </c>
      <c r="L66" s="81" t="inlineStr">
        <is>
          <t>Vitrina Accesorios / Taller</t>
        </is>
      </c>
      <c r="M66" s="90" t="n">
        <v>169000</v>
      </c>
      <c r="N66" s="91" t="n">
        <v>0.2958303992933304</v>
      </c>
      <c r="O66" s="92">
        <f>IF(N66&lt;1, ROUNDUP(M66/(1-N66), -3), M66)</f>
        <v/>
      </c>
      <c r="P66" s="91" t="n">
        <v>0.16</v>
      </c>
      <c r="Q66" s="90">
        <f>IF((1-N66-P66)&gt;0, ROUNDUP((M66+IF(O66&gt;=90000,20000,0))/(1-N66-P66), -3), O66)</f>
        <v/>
      </c>
      <c r="R66" s="90">
        <f>O66</f>
        <v/>
      </c>
      <c r="S66" s="90">
        <f>O66-M66</f>
        <v/>
      </c>
      <c r="T66" s="91">
        <f>IF(O66&gt;0, (O66-M66)/O66, 0)</f>
        <v/>
      </c>
      <c r="U66" s="81" t="inlineStr">
        <is>
          <t>36 Meses (3 Años ADATA)</t>
        </is>
      </c>
      <c r="V66" s="80" t="inlineStr">
        <is>
          <t>IMAGENES DE PRODUCTOS/adata 240 gb sata.jpg</t>
        </is>
      </c>
      <c r="W66" s="80" t="inlineStr">
        <is>
          <t>• Capacidad: 240 GB
• Factor de forma: 2.5 pulgadas (7 mm de grosor)
• Interfaz: SATA III 6Gb/s (retrocompatible con SATA II)
• Velocidad de lectura secuencial: Hasta 520 MB/s
• Velocidad de escritura secuencial: Hasta 450 MB/s
• Tecnología: Memoria 3D NAND Flash con caché SLC y corrección de errores ECC
• Compatibilidad: Ideal para actualizar computadores de escritorio o portátiles y multiplicar su velocidad.</t>
        </is>
      </c>
      <c r="X66" s="80" t="inlineStr">
        <is>
          <t>Producto nuevo remisionado. Referencia SU650.</t>
        </is>
      </c>
    </row>
    <row r="67">
      <c r="A67" s="89" t="inlineStr">
        <is>
          <t>MTS-0064</t>
        </is>
      </c>
      <c r="B67" s="79" t="inlineStr">
        <is>
          <t>Caja / Cofre Externo para Disco Duro 2.5" SATA a USB 3.0 Transparente POSUGEAR</t>
        </is>
      </c>
      <c r="C67" s="80" t="inlineStr">
        <is>
          <t>Almacenamiento y Memorias</t>
        </is>
      </c>
      <c r="D67" s="80" t="inlineStr">
        <is>
          <t>POSUGEAR</t>
        </is>
      </c>
      <c r="E67" s="81" t="inlineStr">
        <is>
          <t>B0C9TGQ8F5</t>
        </is>
      </c>
      <c r="F67" s="81" t="inlineStr">
        <is>
          <t>Transparente</t>
        </is>
      </c>
      <c r="G67" s="81" t="inlineStr">
        <is>
          <t>Sin código</t>
        </is>
      </c>
      <c r="H67" s="81" t="inlineStr">
        <is>
          <t>NUEVO</t>
        </is>
      </c>
      <c r="I67" s="82" t="inlineStr">
        <is>
          <t>🟢 En Stock</t>
        </is>
      </c>
      <c r="J67" s="82" t="n">
        <v>1</v>
      </c>
      <c r="K67" s="81" t="n">
        <v>1</v>
      </c>
      <c r="L67" s="81" t="inlineStr">
        <is>
          <t>Vitrina Accesorios / Taller</t>
        </is>
      </c>
      <c r="M67" s="90" t="n">
        <v>21700</v>
      </c>
      <c r="N67" s="91" t="n">
        <v>0.3799822852081488</v>
      </c>
      <c r="O67" s="92">
        <f>IF(N67&lt;1, ROUNDUP(M67/(1-N67), -3), M67)</f>
        <v/>
      </c>
      <c r="P67" s="91" t="n">
        <v>0.16</v>
      </c>
      <c r="Q67" s="90">
        <f>IF((1-N67-P67)&gt;0, ROUNDUP((M67+IF(O67&gt;=90000,20000,0))/(1-N67-P67), -3), O67)</f>
        <v/>
      </c>
      <c r="R67" s="90">
        <f>O67</f>
        <v/>
      </c>
      <c r="S67" s="90">
        <f>O67-M67</f>
        <v/>
      </c>
      <c r="T67" s="91">
        <f>IF(O67&gt;0, (O67-M67)/O67, 0)</f>
        <v/>
      </c>
      <c r="U67" s="81" t="inlineStr">
        <is>
          <t>6 Meses</t>
        </is>
      </c>
      <c r="V67" s="80" t="inlineStr">
        <is>
          <t>IMAGENES DE PRODUCTOS/61YDB9nALmL._AC_SL1500_.jpg</t>
        </is>
      </c>
      <c r="W67" s="80" t="inlineStr">
        <is>
          <t>• Compatibilidad: Discos duros (HDD) y unidades de estado sólido (SSD) de 2.5" SATA I/II/III (7mm a 9.5mm, hasta 6 TB)
• Conexión: Interfaz USB 3.0 con soporte UASP de alta velocidad (transferencias de hasta 5 Gbps)
• Diseño: Carcasa transparente en policarbonato ultrarresistente (permite ver qué disco está instalado)
• Instalación: 100% libre de herramientas (Tool-Free), apertura fácil mediante tapa deslizable
• Plug &amp; Play: Conexión directa sin drivers en Windows, macOS, Linux, Smart TV, PS4, PS5 y Xbox.</t>
        </is>
      </c>
      <c r="X67" s="80" t="inlineStr">
        <is>
          <t>Carcasa transparente para disco duro externo 2.5 SATA. Pedido Amazon 111-4517322-7785837.</t>
        </is>
      </c>
    </row>
    <row r="68">
      <c r="A68" s="89" t="inlineStr">
        <is>
          <t>MTS-0065</t>
        </is>
      </c>
      <c r="B68" s="79" t="inlineStr">
        <is>
          <t>Batería Seca Recargable para UPS 12V 7.5Ah Powest (FL1275GS)</t>
        </is>
      </c>
      <c r="C68" s="80" t="inlineStr">
        <is>
          <t>Energía y Respaldo / UPS</t>
        </is>
      </c>
      <c r="D68" s="80" t="inlineStr">
        <is>
          <t>Powest</t>
        </is>
      </c>
      <c r="E68" s="81" t="inlineStr">
        <is>
          <t>FL1275GS</t>
        </is>
      </c>
      <c r="F68" s="81" t="inlineStr">
        <is>
          <t>Negro</t>
        </is>
      </c>
      <c r="G68" s="81" t="inlineStr">
        <is>
          <t>Sin código</t>
        </is>
      </c>
      <c r="H68" s="81" t="inlineStr">
        <is>
          <t>NUEVO</t>
        </is>
      </c>
      <c r="I68" s="82" t="inlineStr">
        <is>
          <t>🟢 En Stock</t>
        </is>
      </c>
      <c r="J68" s="82" t="n">
        <v>1</v>
      </c>
      <c r="K68" s="81" t="n">
        <v>2</v>
      </c>
      <c r="L68" s="81" t="inlineStr">
        <is>
          <t>Estante Baterías / Taller</t>
        </is>
      </c>
      <c r="M68" s="90" t="n">
        <v>45000</v>
      </c>
      <c r="N68" s="91" t="n">
        <v>0.3076816566408714</v>
      </c>
      <c r="O68" s="92">
        <f>IF(N68&lt;1, ROUNDUP(M68/(1-N68), -3), M68)</f>
        <v/>
      </c>
      <c r="P68" s="91" t="n">
        <v>0.16</v>
      </c>
      <c r="Q68" s="90">
        <f>IF((1-N68-P68)&gt;0, ROUNDUP((M68+IF(O68&gt;=90000,20000,0))/(1-N68-P68), -3), O68)</f>
        <v/>
      </c>
      <c r="R68" s="90">
        <f>O68</f>
        <v/>
      </c>
      <c r="S68" s="90">
        <f>O68-M68</f>
        <v/>
      </c>
      <c r="T68" s="91">
        <f>IF(O68&gt;0, (O68-M68)/O68, 0)</f>
        <v/>
      </c>
      <c r="U68" s="81" t="inlineStr">
        <is>
          <t>12 Meses (1 Año Powest)</t>
        </is>
      </c>
      <c r="V68" s="80" t="inlineStr">
        <is>
          <t>IMAGENES DE PRODUCTOS/bateria ups powest 12v7ah.jpg</t>
        </is>
      </c>
      <c r="W68" s="80" t="inlineStr">
        <is>
          <t>• Voltaje nominal: 12V DC
• Capacidad: 7.5 Ah / 20Hr
• Tecnología: VRLA / AGM (Plomo-Ácido sellada libre de mantenimiento, a prueba de fugas)
• Terminales: Tipo F1 / Faston 187 (estándar para fácil conexión)
• Aplicaciones: Reemplazo ideal para UPS interactivas (APC, Unitec, CDP, Powest, Forza), sistemas de alarma, cercas eléctricas, iluminación y plantas solares.</t>
        </is>
      </c>
      <c r="X68" s="80" t="inlineStr">
        <is>
          <t>2 unidades físicas nuevas en taller. Modelo FL1275GS.</t>
        </is>
      </c>
    </row>
    <row r="69">
      <c r="A69" s="89" t="inlineStr">
        <is>
          <t>MTS-0066</t>
        </is>
      </c>
      <c r="B69" s="79" t="inlineStr">
        <is>
          <t>Cámara de Seguridad IMOU Ranger 2 Pro 5MP 3K Wi-Fi 360° Smart Tracking</t>
        </is>
      </c>
      <c r="C69" s="80" t="inlineStr">
        <is>
          <t>Seguridad y Videovigilancia</t>
        </is>
      </c>
      <c r="D69" s="80" t="inlineStr">
        <is>
          <t>IMOU</t>
        </is>
      </c>
      <c r="E69" s="81" t="inlineStr">
        <is>
          <t>IPC-S2EN-5R1S-3.6MM</t>
        </is>
      </c>
      <c r="F69" s="81" t="inlineStr">
        <is>
          <t>Blanco</t>
        </is>
      </c>
      <c r="G69" s="81" t="inlineStr">
        <is>
          <t>6971927236594</t>
        </is>
      </c>
      <c r="H69" s="81" t="inlineStr">
        <is>
          <t>NUEVO</t>
        </is>
      </c>
      <c r="I69" s="82" t="inlineStr">
        <is>
          <t>🟢 En Stock</t>
        </is>
      </c>
      <c r="J69" s="82" t="n">
        <v>1</v>
      </c>
      <c r="K69" s="81" t="n">
        <v>2</v>
      </c>
      <c r="L69" s="81" t="inlineStr">
        <is>
          <t>Vitrina Seguridad / Taller</t>
        </is>
      </c>
      <c r="M69" s="90" t="n">
        <v>102578</v>
      </c>
      <c r="N69" s="91" t="n">
        <v>0.265</v>
      </c>
      <c r="O69" s="92">
        <f>IF(N69&lt;1, ROUNDUP(M69/(1-N69), -3), M69)</f>
        <v/>
      </c>
      <c r="P69" s="91" t="n">
        <v>0.16</v>
      </c>
      <c r="Q69" s="90">
        <f>IF((1-N69-P69)&gt;0, ROUNDUP((M69+IF(O69&gt;=90000,20000,0))/(1-N69-P69), -3), O69)</f>
        <v/>
      </c>
      <c r="R69" s="90">
        <f>O69</f>
        <v/>
      </c>
      <c r="S69" s="90">
        <f>O69-M69</f>
        <v/>
      </c>
      <c r="T69" s="91">
        <f>IF(O69&gt;0, (O69-M69)/O69, 0)</f>
        <v/>
      </c>
      <c r="U69" s="81" t="inlineStr">
        <is>
          <t>12 Meses (1 Año IMOU)</t>
        </is>
      </c>
      <c r="V69" s="80" t="inlineStr">
        <is>
          <t>IMAGENES DE PRODUCTOS/camara imou 3K 5MP wifi indoor smart.jpeg</t>
        </is>
      </c>
      <c r="W69" s="80" t="inlineStr">
        <is>
          <t>• Resolución: 5 Megapíxeles 3K Ultra HD (2880 x 1620) para máxima nitidez de imagen
• Cobertura 360°: Giro horizontal de 0~355° e inclinación de -5~80° con seguimiento inteligente de movimiento (Smart Tracking)
• Visión nocturna avanzada: Infrarrojo claro de hasta 10 metros en oscuridad total
• Inteligencia Artificial: Detección precisa de humanos y mascotas con alertas instantáneas a la app IMOU Life
• Audio bidireccional: Micrófono y altavoz integrados para hablar y escuchar en tiempo real
• Alarma disuasoria: Sirena integrada para ahuyentar intrusos y detección de sonidos anormales
• Almacenamiento: Ranura para tarjeta Micro SD de hasta 512 GB y opción de almacenamiento en la nube
• Conectividad: Wi-Fi 2.4 GHz y alimentación moderna por puerto USB Tipo-C.</t>
        </is>
      </c>
      <c r="X69" s="80" t="inlineStr">
        <is>
          <t>2 unidades nuevas selladas en taller. Factura FT-18220.</t>
        </is>
      </c>
    </row>
    <row r="70">
      <c r="A70" s="89" t="inlineStr">
        <is>
          <t>MTS-0067</t>
        </is>
      </c>
      <c r="B70" s="79" t="inlineStr">
        <is>
          <t>Memoria Micro SD SanDisk Ultra 128GB microSDXC UHS-I Clase 10 (100MB/s)</t>
        </is>
      </c>
      <c r="C70" s="80" t="inlineStr">
        <is>
          <t>Almacenamiento y Memorias</t>
        </is>
      </c>
      <c r="D70" s="80" t="inlineStr">
        <is>
          <t>SanDisk</t>
        </is>
      </c>
      <c r="E70" s="81" t="inlineStr">
        <is>
          <t>SDSQUNR-128G-GN6MN</t>
        </is>
      </c>
      <c r="F70" s="81" t="inlineStr">
        <is>
          <t>Rojo / Gris</t>
        </is>
      </c>
      <c r="G70" s="81" t="inlineStr">
        <is>
          <t>619659181740</t>
        </is>
      </c>
      <c r="H70" s="81" t="inlineStr">
        <is>
          <t>NUEVO</t>
        </is>
      </c>
      <c r="I70" s="82" t="inlineStr">
        <is>
          <t>🟢 En Stock</t>
        </is>
      </c>
      <c r="J70" s="82" t="n">
        <v>1</v>
      </c>
      <c r="K70" s="81" t="n">
        <v>3</v>
      </c>
      <c r="L70" s="81" t="inlineStr">
        <is>
          <t>Vitrina Accesorios / Taller</t>
        </is>
      </c>
      <c r="M70" s="90" t="n">
        <v>90594</v>
      </c>
      <c r="N70" s="91" t="n">
        <v>0.2122192366890147</v>
      </c>
      <c r="O70" s="92">
        <f>IF(N70&lt;1, ROUNDUP(M70/(1-N70), -3), M70)</f>
        <v/>
      </c>
      <c r="P70" s="91" t="n">
        <v>0.16</v>
      </c>
      <c r="Q70" s="90">
        <f>IF((1-N70-P70)&gt;0, ROUNDUP((M70+IF(O70&gt;=90000,20000,0))/(1-N70-P70), -3), O70)</f>
        <v/>
      </c>
      <c r="R70" s="90">
        <f>O70</f>
        <v/>
      </c>
      <c r="S70" s="90">
        <f>O70-M70</f>
        <v/>
      </c>
      <c r="T70" s="91">
        <f>IF(O70&gt;0, (O70-M70)/O70, 0)</f>
        <v/>
      </c>
      <c r="U70" s="81" t="inlineStr">
        <is>
          <t>12 Meses (1 Año SanDisk)</t>
        </is>
      </c>
      <c r="V70" s="80" t="inlineStr">
        <is>
          <t>IMAGENES DE PRODUCTOS/micro sd 128gb c10 sandisk.jpeg</t>
        </is>
      </c>
      <c r="W70" s="80" t="inlineStr">
        <is>
          <t>• Capacidad: 128 GB de almacenamiento de alta velocidad
• Velocidad de transferencia: Hasta 100 MB/s de lectura rápida para transferir fotos y videos en segundos
• Rendimiento: Clase 10, UHS Speed Class 1 (U1) y A1 (optimizada para apps y cámaras)
• Grabación de video: Optimizada para video Full HD (1080p) continuo y fotografía de alta resolución
• Resistencia extrema: Diseñada a prueba de agua, golpes, rayos X y temperaturas extremas
• Compatibilidad: Smartphones, tablets, cámaras de seguridad (IMOU, Tapo, Dahua), drones y Nintendo Switch.</t>
        </is>
      </c>
      <c r="X70" s="80" t="inlineStr">
        <is>
          <t>3 unidades nuevas selladas. Pedido Amazon 111-3727652-1457013.</t>
        </is>
      </c>
    </row>
    <row r="71">
      <c r="A71" s="89" t="inlineStr">
        <is>
          <t>MTS-0068</t>
        </is>
      </c>
      <c r="B71" s="79" t="inlineStr">
        <is>
          <t>Diadema con Micrófono USB Genius HS-230U para Oficina y Teletrabajo</t>
        </is>
      </c>
      <c r="C71" s="80" t="inlineStr">
        <is>
          <t>Periféricos y Accesorios</t>
        </is>
      </c>
      <c r="D71" s="80" t="inlineStr">
        <is>
          <t>Genius</t>
        </is>
      </c>
      <c r="E71" s="81" t="inlineStr">
        <is>
          <t>HS-230U / 31710021401</t>
        </is>
      </c>
      <c r="F71" s="81" t="inlineStr">
        <is>
          <t>Negro</t>
        </is>
      </c>
      <c r="G71" s="81" t="inlineStr">
        <is>
          <t>4710268257257</t>
        </is>
      </c>
      <c r="H71" s="81" t="inlineStr">
        <is>
          <t>NUEVO</t>
        </is>
      </c>
      <c r="I71" s="82" t="inlineStr">
        <is>
          <t>🟢 En Stock</t>
        </is>
      </c>
      <c r="J71" s="82" t="n">
        <v>1</v>
      </c>
      <c r="K71" s="81" t="n">
        <v>1</v>
      </c>
      <c r="L71" s="81" t="inlineStr">
        <is>
          <t>Vitrina Periféricos / Taller</t>
        </is>
      </c>
      <c r="M71" s="90" t="n">
        <v>38675</v>
      </c>
      <c r="N71" s="91" t="n">
        <v>0.14</v>
      </c>
      <c r="O71" s="92">
        <f>IF(N71&lt;1, ROUNDUP(M71/(1-N71), -3), M71)</f>
        <v/>
      </c>
      <c r="P71" s="91" t="n">
        <v>0.16</v>
      </c>
      <c r="Q71" s="90">
        <f>IF((1-N71-P71)&gt;0, ROUNDUP((M71+IF(O71&gt;=90000,20000,0))/(1-N71-P71), -3), O71)</f>
        <v/>
      </c>
      <c r="R71" s="90">
        <f>O71</f>
        <v/>
      </c>
      <c r="S71" s="90">
        <f>O71-M71</f>
        <v/>
      </c>
      <c r="T71" s="91">
        <f>IF(O71&gt;0, (O71-M71)/O71, 0)</f>
        <v/>
      </c>
      <c r="U71" s="81" t="inlineStr">
        <is>
          <t>12 Meses (1 Año Genius)</t>
        </is>
      </c>
      <c r="V71" s="80" t="inlineStr">
        <is>
          <t>IMAGENES DE PRODUCTOS/Diadema usb HS-230U Genius.jpeg</t>
        </is>
      </c>
      <c r="W71" s="80" t="inlineStr">
        <is>
          <t>• Conexión: USB Plug &amp; Play inmediata (sin necesidad de controladores ni adaptadores)
• Micrófono: Micrófono omnidireccional con cancelación de ruido y brazo ajustable y flexible
• Comodidad: Diadema ultraliviana ajustable con almohadillas acolchadas suaves para largas jornadas
• Control en cable: Control integrado de volumen y botón de silenciado rápido (Mute)
• Sonido: Drivers de 30 mm para llamadas nítidas y reproducción clara de audio
• Compatibilidad: Windows, macOS, Zoom, Microsoft Teams, Google Meet, Skype y teletrabajo.</t>
        </is>
      </c>
      <c r="X71" s="80" t="inlineStr">
        <is>
          <t>1 unidad nueva sellada. Factura FT-18220.</t>
        </is>
      </c>
    </row>
    <row r="72">
      <c r="A72" s="89" t="inlineStr">
        <is>
          <t>MTS-0069</t>
        </is>
      </c>
      <c r="B72" s="79" t="inlineStr">
        <is>
          <t>Cámara Domo Dahua 2MP Full-Color 1080p Lente 3.6mm Audio Integrado IP67</t>
        </is>
      </c>
      <c r="C72" s="80" t="inlineStr">
        <is>
          <t>Seguridad y Videovigilancia</t>
        </is>
      </c>
      <c r="D72" s="80" t="inlineStr">
        <is>
          <t>Dahua</t>
        </is>
      </c>
      <c r="E72" s="81" t="inlineStr">
        <is>
          <t>DH-HAC-HDW1239TN-A-LED-3.6MM</t>
        </is>
      </c>
      <c r="F72" s="81" t="inlineStr">
        <is>
          <t>Blanco</t>
        </is>
      </c>
      <c r="G72" s="81" t="inlineStr">
        <is>
          <t>6938596001286</t>
        </is>
      </c>
      <c r="H72" s="81" t="inlineStr">
        <is>
          <t>NUEVO</t>
        </is>
      </c>
      <c r="I72" s="82" t="inlineStr">
        <is>
          <t>🟢 En Stock</t>
        </is>
      </c>
      <c r="J72" s="82" t="n">
        <v>2</v>
      </c>
      <c r="K72" s="81" t="n">
        <v>2</v>
      </c>
      <c r="L72" s="81" t="inlineStr">
        <is>
          <t>Vitrina Seguridad / Taller</t>
        </is>
      </c>
      <c r="M72" s="90" t="n">
        <v>108528</v>
      </c>
      <c r="N72" s="91" t="n">
        <v>0.2</v>
      </c>
      <c r="O72" s="92">
        <f>IF(N72&lt;1, ROUNDUP(M72/(1-N72), -3), M72)</f>
        <v/>
      </c>
      <c r="P72" s="91" t="n">
        <v>0.16</v>
      </c>
      <c r="Q72" s="90">
        <f>IF((1-N72-P72)&gt;0, ROUNDUP((M72+IF(O72&gt;=90000,20000,0))/(1-N72-P72), -3), O72)</f>
        <v/>
      </c>
      <c r="R72" s="90">
        <f>O72</f>
        <v/>
      </c>
      <c r="S72" s="90">
        <f>O72-M72</f>
        <v/>
      </c>
      <c r="T72" s="91">
        <f>IF(O72&gt;0, (O72-M72)/O72, 0)</f>
        <v/>
      </c>
      <c r="U72" s="81" t="inlineStr">
        <is>
          <t>24 Meses (2 Años Dahua)</t>
        </is>
      </c>
      <c r="V72" s="80" t="inlineStr">
        <is>
          <t>IMAGENES DE PRODUCTOS/camara ajhua HDCVI 2MP 3.6mm.jpeg</t>
        </is>
      </c>
      <c r="W72" s="80" t="inlineStr">
        <is>
          <t>• Tecnología Full-Color 24/7: Imágenes y videos a color las 24 horas del día incluso en oscuridad total
• Resolución: 2 Megapíxeles 1080p Full HD (1920 x 1080) a 30 fps
• Lente: Fijo de 3.6 mm con apertura focal F1.6 de alta captación de luz
• Iluminación LED blanca cálida: Alcance de hasta 20 metros para visión nocturna nítida a color
• Audio incorporado: Micrófono integrado de alta sensibilidad transmitido por el mismo cable coaxial
• Formato 4 en 1 conmutable: Compatible con formatos de video CVI, TVI, AHD y CVBS
• Protección para intemperie: Grado de protección IP67 resistente al agua, lluvia y polvo.</t>
        </is>
      </c>
      <c r="X72" s="80" t="inlineStr">
        <is>
          <t>2 unidades nuevas selladas. Factura FT-18220.</t>
        </is>
      </c>
    </row>
    <row r="73">
      <c r="A73" s="89" t="inlineStr">
        <is>
          <t>MTS-0070</t>
        </is>
      </c>
      <c r="B73" s="79" t="inlineStr">
        <is>
          <t>Cable Adaptador USB 2.0 a Puerto Serial RS232 DB9 Macho Jaltech</t>
        </is>
      </c>
      <c r="C73" s="80" t="inlineStr">
        <is>
          <t>Periféricos y Accesorios</t>
        </is>
      </c>
      <c r="D73" s="80" t="inlineStr">
        <is>
          <t>Jaltech</t>
        </is>
      </c>
      <c r="E73" s="81" t="inlineStr">
        <is>
          <t>01132 / USB-RS232-DB9</t>
        </is>
      </c>
      <c r="F73" s="81" t="inlineStr">
        <is>
          <t>Azul / Negro</t>
        </is>
      </c>
      <c r="G73" s="81" t="inlineStr">
        <is>
          <t>Sin código</t>
        </is>
      </c>
      <c r="H73" s="81" t="inlineStr">
        <is>
          <t>NUEVO</t>
        </is>
      </c>
      <c r="I73" s="82" t="inlineStr">
        <is>
          <t>🟢 En Stock</t>
        </is>
      </c>
      <c r="J73" s="82" t="n">
        <v>1</v>
      </c>
      <c r="K73" s="81" t="n">
        <v>1</v>
      </c>
      <c r="L73" s="81" t="inlineStr">
        <is>
          <t>Vitrina Accesorios / Taller</t>
        </is>
      </c>
      <c r="M73" s="90" t="n">
        <v>14000</v>
      </c>
      <c r="N73" s="91" t="n">
        <v>0.3</v>
      </c>
      <c r="O73" s="92">
        <f>IF(N73&lt;1, ROUNDUP(M73/(1-N73), -3), M73)</f>
        <v/>
      </c>
      <c r="P73" s="91" t="n">
        <v>0.16</v>
      </c>
      <c r="Q73" s="90">
        <f>IF((1-N73-P73)&gt;0, ROUNDUP((M73+IF(O73&gt;=90000,20000,0))/(1-N73-P73), -3), O73)</f>
        <v/>
      </c>
      <c r="R73" s="90">
        <f>O73</f>
        <v/>
      </c>
      <c r="S73" s="90">
        <f>O73-M73</f>
        <v/>
      </c>
      <c r="T73" s="91">
        <f>IF(O73&gt;0, (O73-M73)/O73, 0)</f>
        <v/>
      </c>
      <c r="U73" s="81" t="inlineStr">
        <is>
          <t>6 Meses</t>
        </is>
      </c>
      <c r="V73" s="80" t="inlineStr">
        <is>
          <t>IMAGENES DE PRODUCTOS/Cable usb a puerto serial RS232.jpeg</t>
        </is>
      </c>
      <c r="W73" s="80" t="inlineStr">
        <is>
          <t>• Conector: USB 2.0 Macho a Conector Serial DB9 (RS232) Macho
• Chipset: Controlador de alta compatibilidad para comunicación serial estable y sin pérdidas
• Tasa de transferencia: Soporta velocidades de datos de hasta 1 Mbps
• Aplicaciones: Conexión de impresoras POS/fiscales, balanzas, switches, routers Cisco, PLCs y GPS
• Compatibilidad: Funciona en Windows 11, 10, 8.1, 7, Linux y macOS.</t>
        </is>
      </c>
      <c r="X73" s="80" t="inlineStr">
        <is>
          <t>1 unidad nueva. Cable adaptador USB a serial RS232.</t>
        </is>
      </c>
    </row>
    <row r="74">
      <c r="A74" s="89" t="inlineStr">
        <is>
          <t>MTS-0071</t>
        </is>
      </c>
      <c r="B74" s="79" t="inlineStr">
        <is>
          <t>Ventilador Cooler Fan 40x40x10mm 12V 0.1A para DVR, Mini PC e Impresoras 3D</t>
        </is>
      </c>
      <c r="C74" s="80" t="inlineStr">
        <is>
          <t>Componentes y Repuestos</t>
        </is>
      </c>
      <c r="D74" s="80" t="inlineStr">
        <is>
          <t>Genérico / OEM</t>
        </is>
      </c>
      <c r="E74" s="81" t="inlineStr">
        <is>
          <t>FAN-4010-12V</t>
        </is>
      </c>
      <c r="F74" s="81" t="inlineStr">
        <is>
          <t>Negro</t>
        </is>
      </c>
      <c r="G74" s="81" t="inlineStr">
        <is>
          <t>Sin código</t>
        </is>
      </c>
      <c r="H74" s="81" t="inlineStr">
        <is>
          <t>NUEVO</t>
        </is>
      </c>
      <c r="I74" s="82" t="inlineStr">
        <is>
          <t>🟢 En Stock</t>
        </is>
      </c>
      <c r="J74" s="82" t="n">
        <v>1</v>
      </c>
      <c r="K74" s="81" t="n">
        <v>1</v>
      </c>
      <c r="L74" s="81" t="inlineStr">
        <is>
          <t>Taller - Repuestos</t>
        </is>
      </c>
      <c r="M74" s="90" t="n">
        <v>11000</v>
      </c>
      <c r="N74" s="91" t="n">
        <v>0.22</v>
      </c>
      <c r="O74" s="92">
        <f>IF(N74&lt;1, ROUNDUP(M74/(1-N74), -3), M74)</f>
        <v/>
      </c>
      <c r="P74" s="91" t="n">
        <v>0.16</v>
      </c>
      <c r="Q74" s="90">
        <f>IF((1-N74-P74)&gt;0, ROUNDUP((M74+IF(O74&gt;=90000,20000,0))/(1-N74-P74), -3), O74)</f>
        <v/>
      </c>
      <c r="R74" s="90">
        <f>O74</f>
        <v/>
      </c>
      <c r="S74" s="90">
        <f>O74-M74</f>
        <v/>
      </c>
      <c r="T74" s="91">
        <f>IF(O74&gt;0, (O74-M74)/O74, 0)</f>
        <v/>
      </c>
      <c r="U74" s="81" t="inlineStr">
        <is>
          <t>3 Meses</t>
        </is>
      </c>
      <c r="V74" s="80" t="inlineStr">
        <is>
          <t>IMAGENES DE PRODUCTOS/Ventilador para dvr .jpeg</t>
        </is>
      </c>
      <c r="W74" s="80" t="inlineStr">
        <is>
          <t>• Dimensiones: 40 mm x 40 mm x 10 mm (1.5 pulgadas aprox.)
• Alimentación: 12V DC a 0.1 Amperios (bajo consumo y operación silenciosa)
• Conector: Terminal estándar de 2 pines (rojo positivo / negro negativo)
• Aplicaciones: Extractor de calor y disipador de reemplazo para grabadores DVR/NVR (Dahua, Hikvision), mini PCs, impresoras 3D, routers y fuentes de poder.</t>
        </is>
      </c>
      <c r="X74" s="80" t="inlineStr">
        <is>
          <t>1 unidad nueva. Ventilador micro cooler 4010 12V 0.1A.</t>
        </is>
      </c>
    </row>
    <row r="75">
      <c r="A75" s="89" t="inlineStr">
        <is>
          <t>MTS-0072</t>
        </is>
      </c>
      <c r="B75" s="79" t="inlineStr">
        <is>
          <t>Memoria RAM Samsung 4GB DDR4 2400MHz SODIMM para Portátil (PC4-2400T)</t>
        </is>
      </c>
      <c r="C75" s="80" t="inlineStr">
        <is>
          <t>Memorias</t>
        </is>
      </c>
      <c r="D75" s="80" t="inlineStr">
        <is>
          <t>Samsung</t>
        </is>
      </c>
      <c r="E75" s="81" t="inlineStr"/>
      <c r="F75" s="81" t="inlineStr"/>
      <c r="G75" s="81" t="inlineStr"/>
      <c r="H75" s="81" t="inlineStr">
        <is>
          <t>REMANUFACTURADO</t>
        </is>
      </c>
      <c r="I75" s="82" t="inlineStr">
        <is>
          <t>🟢 En Stock</t>
        </is>
      </c>
      <c r="J75" s="82" t="n">
        <v>2</v>
      </c>
      <c r="K75" s="81" t="n">
        <v>2</v>
      </c>
      <c r="L75" s="81" t="inlineStr">
        <is>
          <t>Taller</t>
        </is>
      </c>
      <c r="M75" s="90" t="n">
        <v>50000</v>
      </c>
      <c r="N75" s="91" t="n">
        <v>0.5</v>
      </c>
      <c r="O75" s="92">
        <f>IF(N75&lt;1, ROUNDUP(M75/(1-N75), -3), M75)</f>
        <v/>
      </c>
      <c r="P75" s="91" t="n">
        <v>0.16</v>
      </c>
      <c r="Q75" s="90">
        <f>IF((1-N75-P75)&gt;0, ROUNDUP((M75+IF(O75&gt;=90000,20000,0))/(1-N75-P75), -3), O75)</f>
        <v/>
      </c>
      <c r="R75" s="90">
        <f>O75</f>
        <v/>
      </c>
      <c r="S75" s="90">
        <f>O75-M75</f>
        <v/>
      </c>
      <c r="T75" s="91">
        <f>IF(O75&gt;0, (O75-M75)/O75, 0)</f>
        <v/>
      </c>
      <c r="U75" s="81" t="inlineStr">
        <is>
          <t>Garantía oficial</t>
        </is>
      </c>
      <c r="V75" s="80" t="inlineStr">
        <is>
          <t>identidad visual max tech/Logo MAX Tech.png</t>
        </is>
      </c>
      <c r="W75" s="80" t="inlineStr"/>
      <c r="X75" s="80" t="inlineStr"/>
    </row>
    <row r="76">
      <c r="A76" s="89" t="inlineStr">
        <is>
          <t>JAL838L</t>
        </is>
      </c>
      <c r="B76" s="79" t="inlineStr">
        <is>
          <t>IMPRESORA TÉRMICA 2 EN 1 RECIBOS Y ETIQUETAS</t>
        </is>
      </c>
      <c r="C76" s="80" t="inlineStr">
        <is>
          <t>Tintas y Suministros</t>
        </is>
      </c>
      <c r="D76" s="80" t="inlineStr">
        <is>
          <t>Jaltech</t>
        </is>
      </c>
      <c r="E76" s="81" t="inlineStr"/>
      <c r="F76" s="81" t="inlineStr">
        <is>
          <t>Negra</t>
        </is>
      </c>
      <c r="G76" s="81" t="inlineStr"/>
      <c r="H76" s="81" t="inlineStr">
        <is>
          <t>NUEVO</t>
        </is>
      </c>
      <c r="I76" s="82" t="inlineStr">
        <is>
          <t>⚪ Agotado</t>
        </is>
      </c>
      <c r="J76" s="82" t="n">
        <v>0</v>
      </c>
      <c r="K76" s="81" t="n">
        <v>0</v>
      </c>
      <c r="L76" s="81" t="inlineStr">
        <is>
          <t>Taller</t>
        </is>
      </c>
      <c r="M76" s="90" t="n">
        <v>370000</v>
      </c>
      <c r="N76" s="91" t="n">
        <v>0.105</v>
      </c>
      <c r="O76" s="92">
        <f>IF(N76&lt;1, ROUNDUP(M76/(1-N76), -3), M76)</f>
        <v/>
      </c>
      <c r="P76" s="91" t="n">
        <v>0.16</v>
      </c>
      <c r="Q76" s="90">
        <f>IF((1-N76-P76)&gt;0, ROUNDUP((M76+IF(O76&gt;=90000,20000,0))/(1-N76-P76), -3), O76)</f>
        <v/>
      </c>
      <c r="R76" s="90">
        <f>O76</f>
        <v/>
      </c>
      <c r="S76" s="90">
        <f>O76-M76</f>
        <v/>
      </c>
      <c r="T76" s="91">
        <f>IF(O76&gt;0, (O76-M76)/O76, 0)</f>
        <v/>
      </c>
      <c r="U76" s="81" t="inlineStr">
        <is>
          <t>Garantía oficial</t>
        </is>
      </c>
      <c r="V76" s="80" t="inlineStr">
        <is>
          <t>IMAGENES DE PRODUCTOS/impresora_pos_doblre_proposito_jaltech.jpeg</t>
        </is>
      </c>
      <c r="W76" s="80" t="inlineStr">
        <is>
          <t>IMPRESORA TÉRMICA 2 EN 1 RECIBOS Y ETIQUETAS
· Impresora de doble función
· Modo de impresión de etiquetas
· Modo de impresión de recibos
· Alta velocidad
· Puerto RJ45
· Puerto USB
· Amplia compatibilidad
· Windows, Linux, Lac, Android
· Impresora doble propósito:
· Modo de impresión de etiquetas (cód. De barras)
· Modo de impresión de recibos (facturación)
· Tipo de impresión: térmica directa
· Comando de impresión: TSPL (compatible con CPCL/ESC/POS)
· Incluye software para elaboración de etiquetas
· Tipo de papel: rollo spapel térmico y papel termoadhesivo
· Ancho de papel: de 20mm a 82mm
· Grosor de papel: de 0,06 a 0,19 mm
· Diámetro de papel: 82mm
· Ancho de impresión: 76mm
· Tipos de rollo de papel: papel continuo, papel de etiquetas
· Velocidad de impresión: 220mm/s en modo facturación,
· 127mm/s en modo cód. De barras
· Puertos: USB, RJ45 Lan y RJ11 para cajón monedero
· Memoria: RAM 4mb, flash 4mb
· Resolución: 203 ppp
· Corte de papel: manual
· Vida útil del cabezal de impresión: unos 100Km
· Botón de encendido y apagado
· Adaptador de energía: 24v/2,5a 3pin
· Compatibilidad: Windows y Android en modo cód. De barras,
· Win, linux, Android y mac en modo facturación
· SDK: iOS/Android/Windows
· Sensores en modo cód. De barras: sensor de temperatura del cabezal/
fin del papel/cubierta abierta/sensor gap (espacios)
· Sensores en modo facturación: sensor de temperatura del cabezal/fin
del papel/cubierta abierta
· Temperatura de trabajo: 5 - 45 °c humedad: rh 10-80%
· Dimensiones: 212x140x144mm
· Peso: 0,94 Kg
· Contenido de la caja: impresora, adaptador de papel, adaptador de
corriente, cable de poder, cable USB, CD, manual.
· Compatibilidad de codificación: 1d: código 128 / ean1281 itf/ código
39/ código 39c / código39s / código931 ean13 / ean13+21/ean13+5/ean8 / ean8+21 ean8+5 / codabar / upc-a /upca+2 /upca+5/upce /upce+21 upce+51 MSI / msic / plessey / itf14 / ean14. · 2d: pdf417/ código qr/ datamatrix.
Volver</t>
        </is>
      </c>
      <c r="X76" s="80" t="inlineStr"/>
    </row>
    <row r="77">
      <c r="A77" s="89" t="inlineStr">
        <is>
          <t>MTS-0073</t>
        </is>
      </c>
      <c r="B77" s="79" t="inlineStr">
        <is>
          <t>Cámara de Seguridad IMOU Ranger 2 Dual 10MP (5MP+5MP) Wi-Fi 6 360° Smart Full-Color</t>
        </is>
      </c>
      <c r="C77" s="80" t="inlineStr">
        <is>
          <t>Seguridad y Videovigilancia</t>
        </is>
      </c>
      <c r="D77" s="80" t="inlineStr">
        <is>
          <t>IMOU</t>
        </is>
      </c>
      <c r="E77" s="81" t="inlineStr">
        <is>
          <t>IPC-S20EN-10M0S-3.6MM</t>
        </is>
      </c>
      <c r="F77" s="81" t="inlineStr">
        <is>
          <t>Blanco</t>
        </is>
      </c>
      <c r="G77" s="81" t="inlineStr">
        <is>
          <t>Sin código</t>
        </is>
      </c>
      <c r="H77" s="81" t="inlineStr">
        <is>
          <t>NUEVO</t>
        </is>
      </c>
      <c r="I77" s="82" t="inlineStr">
        <is>
          <t>🟢 En Stock</t>
        </is>
      </c>
      <c r="J77" s="82" t="n">
        <v>2</v>
      </c>
      <c r="K77" s="81" t="n">
        <v>2</v>
      </c>
      <c r="L77" s="81" t="inlineStr">
        <is>
          <t>Vitrina Seguridad / Taller</t>
        </is>
      </c>
      <c r="M77" s="90" t="n">
        <v>187400</v>
      </c>
      <c r="N77" s="91" t="n">
        <v>0.3007436594912668</v>
      </c>
      <c r="O77" s="92">
        <f>IF(N77&lt;1, ROUNDUP(M77/(1-N77), -3), M77)</f>
        <v/>
      </c>
      <c r="P77" s="91" t="n">
        <v>0.16</v>
      </c>
      <c r="Q77" s="90">
        <f>IF((1-N77-P77)&gt;0, ROUNDUP((M77+IF(O77&gt;=90000,20000,0))/(1-N77-P77), -3), O77)</f>
        <v/>
      </c>
      <c r="R77" s="90">
        <f>O77</f>
        <v/>
      </c>
      <c r="S77" s="90">
        <f>O77-M77</f>
        <v/>
      </c>
      <c r="T77" s="91">
        <f>IF(O77&gt;0, (O77-M77)/O77, 0)</f>
        <v/>
      </c>
      <c r="U77" s="81" t="inlineStr">
        <is>
          <t>12 Meses (1 Año Oficial IMOU)</t>
        </is>
      </c>
      <c r="V77" s="80" t="inlineStr">
        <is>
          <t>identidad visual max tech/Logo MAX Tech.png</t>
        </is>
      </c>
      <c r="W77" s="80" t="inlineStr">
        <is>
          <t>• Doble lente de 10MP en total: Lente fijo 5MP 3K + Lente robótico PT 5MP 3K con giro 360° e inclinación
• Cobertura simultánea: Monitorea dos áreas al mismo tiempo con una sola cámara
• Visión nocturna Smart Full-Color: 4 modos inteligentes de visión nocturna a todo color
• Conectividad Wi-Fi 6 (2.4 GHz y 5 GHz) de alta velocidad y máxima estabilidad de señal
• Detección inteligente por IA: Reconoce humanos y mascotas con seguimiento automático de movimiento
• Audio bidireccional y botón de llamada directa (One-touch call) desde la cámara al celular
• Sirena y alarma disuasoria con detección de sonidos anormales
• Puerto de alimentación USB-C y ranura para tarjeta Micro SD de hasta 512 GB.</t>
        </is>
      </c>
      <c r="X77" s="80" t="inlineStr">
        <is>
          <t>2 unidades nuevas selladas en taller. Factura FT-20168.</t>
        </is>
      </c>
    </row>
    <row r="78">
      <c r="A78" s="89" t="inlineStr">
        <is>
          <t>MTS-0074</t>
        </is>
      </c>
      <c r="B78" s="79" t="inlineStr">
        <is>
          <t>Router TP-Link Archer BE550 Tribanda Wi-Fi 7 BE9300 9.3Gbps Puertos 2.5G</t>
        </is>
      </c>
      <c r="C78" s="80" t="inlineStr">
        <is>
          <t>Redes y Conectividad</t>
        </is>
      </c>
      <c r="D78" s="80" t="inlineStr">
        <is>
          <t>TP-Link</t>
        </is>
      </c>
      <c r="E78" s="81" t="inlineStr">
        <is>
          <t>Archer BE550</t>
        </is>
      </c>
      <c r="F78" s="81" t="inlineStr">
        <is>
          <t>Negro</t>
        </is>
      </c>
      <c r="G78" s="81" t="inlineStr">
        <is>
          <t>Sin código</t>
        </is>
      </c>
      <c r="H78" s="81" t="inlineStr">
        <is>
          <t>NUEVO</t>
        </is>
      </c>
      <c r="I78" s="82" t="inlineStr">
        <is>
          <t>🟢 En Stock</t>
        </is>
      </c>
      <c r="J78" s="82" t="n">
        <v>1</v>
      </c>
      <c r="K78" s="81" t="n">
        <v>1</v>
      </c>
      <c r="L78" s="81" t="inlineStr">
        <is>
          <t>Estante Redes / Taller</t>
        </is>
      </c>
      <c r="M78" s="90" t="n">
        <v>798490</v>
      </c>
      <c r="N78" s="91" t="n">
        <v>0.2007099106205311</v>
      </c>
      <c r="O78" s="92">
        <f>IF(N78&lt;1, ROUNDUP(M78/(1-N78), -3), M78)</f>
        <v/>
      </c>
      <c r="P78" s="91" t="n">
        <v>0.16</v>
      </c>
      <c r="Q78" s="90">
        <f>IF((1-N78-P78)&gt;0, ROUNDUP((M78+IF(O78&gt;=90000,20000,0))/(1-N78-P78), -3), O78)</f>
        <v/>
      </c>
      <c r="R78" s="90">
        <f>O78</f>
        <v/>
      </c>
      <c r="S78" s="90">
        <f>O78-M78</f>
        <v/>
      </c>
      <c r="T78" s="91">
        <f>IF(O78&gt;0, (O78-M78)/O78, 0)</f>
        <v/>
      </c>
      <c r="U78" s="81" t="inlineStr">
        <is>
          <t>24 Meses (2 Años Oficial TP-Link)</t>
        </is>
      </c>
      <c r="V78" s="80" t="inlineStr">
        <is>
          <t>identidad visual max tech/Logo MAX Tech.png</t>
        </is>
      </c>
      <c r="W78" s="80" t="inlineStr">
        <is>
          <t>• Tecnología Wi-Fi 7 de última generación con velocidad tribanda extrema de hasta 9.300 Mbps (9.3 Gbps)
• Operación Multi-Link (MLO) y canales de 320 MHz para latencia ultrabaja y máxima estabilidad
• 5 puertos Ethernet 2.5 Gbps (1 puerto WAN 2.5G + 4 puertos LAN 2.5G) ideales para fibra óptica ultrarrápida
• 6 antenas internas óptimamente posicionadas con tecnología Beamforming para cobertura omnidireccional
• Puerto USB 3.0 de alta velocidad para compartir archivos y crear almacenamiento NAS local
• Procesador de alta potencia para streaming 8K/4K simultáneo, gaming profesional y realidad virtual (VR)
• Seguridad avanzada TP-Link HomeShield y compatibilidad con EasyMesh.</t>
        </is>
      </c>
      <c r="X78" s="80" t="inlineStr">
        <is>
          <t>1 unidad nueva sellada. Factura FT-20172.</t>
        </is>
      </c>
    </row>
    <row r="79">
      <c r="A79" s="89" t="inlineStr">
        <is>
          <t>MTS-0075</t>
        </is>
      </c>
      <c r="B79" s="79" t="inlineStr">
        <is>
          <t>Disco Estado Sólido SSD 2.5" SATA III 1TB (1000GB) ADATA Ultimate SU650</t>
        </is>
      </c>
      <c r="C79" s="80" t="inlineStr">
        <is>
          <t>Almacenamiento y Memorias</t>
        </is>
      </c>
      <c r="D79" s="80" t="inlineStr">
        <is>
          <t>ADATA</t>
        </is>
      </c>
      <c r="E79" s="81" t="inlineStr">
        <is>
          <t>ASU650SS-1TT-R / SU650 1TB</t>
        </is>
      </c>
      <c r="F79" s="81" t="inlineStr">
        <is>
          <t>Negro</t>
        </is>
      </c>
      <c r="G79" s="81" t="inlineStr">
        <is>
          <t>Sin código</t>
        </is>
      </c>
      <c r="H79" s="81" t="inlineStr">
        <is>
          <t>NUEVO</t>
        </is>
      </c>
      <c r="I79" s="82" t="inlineStr">
        <is>
          <t>🟢 En Stock</t>
        </is>
      </c>
      <c r="J79" s="82" t="n">
        <v>1</v>
      </c>
      <c r="K79" s="81" t="n">
        <v>1</v>
      </c>
      <c r="L79" s="81" t="inlineStr">
        <is>
          <t>Vitrina Accesorios / Taller</t>
        </is>
      </c>
      <c r="M79" s="90" t="n">
        <v>515000</v>
      </c>
      <c r="N79" s="91" t="n">
        <v>0.2015491496886042</v>
      </c>
      <c r="O79" s="92">
        <f>IF(N79&lt;1, ROUNDUP(M79/(1-N79), -3), M79)</f>
        <v/>
      </c>
      <c r="P79" s="91" t="n">
        <v>0.16</v>
      </c>
      <c r="Q79" s="90">
        <f>IF((1-N79-P79)&gt;0, ROUNDUP((M79+IF(O79&gt;=90000,20000,0))/(1-N79-P79), -3), O79)</f>
        <v/>
      </c>
      <c r="R79" s="90">
        <f>O79</f>
        <v/>
      </c>
      <c r="S79" s="90">
        <f>O79-M79</f>
        <v/>
      </c>
      <c r="T79" s="91">
        <f>IF(O79&gt;0, (O79-M79)/O79, 0)</f>
        <v/>
      </c>
      <c r="U79" s="81" t="inlineStr">
        <is>
          <t>36 Meses (3 Años Oficial ADATA)</t>
        </is>
      </c>
      <c r="V79" s="80" t="inlineStr">
        <is>
          <t>identidad visual max tech/Logo MAX Tech.png</t>
        </is>
      </c>
      <c r="W79" s="80" t="inlineStr">
        <is>
          <t>• Capacidad: 1 TB (1.000 GB) de almacenamiento sólido
• Factor de forma: 2.5 pulgadas (7 mm de grosor, ultrafino)
• Interfaz: SATA III 6Gb/s (retrocompatible con SATA II)
• Velocidad de lectura secuencial: Hasta 520 MB/s
• Velocidad de escritura secuencial: Hasta 450 MB/s
• Tecnología: Memoria 3D NAND Flash con caché SLC y corrección de errores ECC
• Ideal para repotenciar portátiles y computadores de escritorio con máxima capacidad y velocidad.</t>
        </is>
      </c>
      <c r="X79" s="80" t="inlineStr">
        <is>
          <t>1 unidad nueva sellada. Serial: 4P3621895537. Factura FEVO 34572.</t>
        </is>
      </c>
    </row>
    <row r="80">
      <c r="A80" s="89" t="inlineStr">
        <is>
          <t>MTS-0076</t>
        </is>
      </c>
      <c r="B80" s="79" t="inlineStr">
        <is>
          <t>Caja / Cofre Externo para Disco SSD M.2 NVMe a USB 3.0 / USB-C Negro</t>
        </is>
      </c>
      <c r="C80" s="80" t="inlineStr">
        <is>
          <t>Almacenamiento y Memorias</t>
        </is>
      </c>
      <c r="D80" s="80" t="inlineStr">
        <is>
          <t>Digital MTX / OEM</t>
        </is>
      </c>
      <c r="E80" s="81" t="inlineStr">
        <is>
          <t>00003583 / CASE-M2-NVME-USB</t>
        </is>
      </c>
      <c r="F80" s="81" t="inlineStr">
        <is>
          <t>Negro</t>
        </is>
      </c>
      <c r="G80" s="81" t="inlineStr">
        <is>
          <t>Sin código</t>
        </is>
      </c>
      <c r="H80" s="81" t="inlineStr">
        <is>
          <t>NUEVO</t>
        </is>
      </c>
      <c r="I80" s="82" t="inlineStr">
        <is>
          <t>🟢 En Stock</t>
        </is>
      </c>
      <c r="J80" s="82" t="n">
        <v>1</v>
      </c>
      <c r="K80" s="81" t="n">
        <v>1</v>
      </c>
      <c r="L80" s="81" t="inlineStr">
        <is>
          <t>Vitrina Accesorios / Taller</t>
        </is>
      </c>
      <c r="M80" s="90" t="n">
        <v>45000</v>
      </c>
      <c r="N80" s="91" t="n">
        <v>0.3382255621406197</v>
      </c>
      <c r="O80" s="92">
        <f>IF(N80&lt;1, ROUNDUP(M80/(1-N80), -3), M80)</f>
        <v/>
      </c>
      <c r="P80" s="91" t="n">
        <v>0.16</v>
      </c>
      <c r="Q80" s="90">
        <f>IF((1-N80-P80)&gt;0, ROUNDUP((M80+IF(O80&gt;=90000,20000,0))/(1-N80-P80), -3), O80)</f>
        <v/>
      </c>
      <c r="R80" s="90">
        <f>O80</f>
        <v/>
      </c>
      <c r="S80" s="90">
        <f>O80-M80</f>
        <v/>
      </c>
      <c r="T80" s="91">
        <f>IF(O80&gt;0, (O80-M80)/O80, 0)</f>
        <v/>
      </c>
      <c r="U80" s="81" t="inlineStr">
        <is>
          <t>3 Meses</t>
        </is>
      </c>
      <c r="V80" s="80" t="inlineStr">
        <is>
          <t>identidad visual max tech/Logo MAX Tech.png</t>
        </is>
      </c>
      <c r="W80" s="80" t="inlineStr">
        <is>
          <t>• Compatibilidad: Discos sólidos SSD M.2 NVMe PCIe M-Key y B+M Key (tamaños 2230, 2242, 2260, 2280)
• Conexión: Interfaz USB 3.0 / USB-C de alta velocidad (transferencias de hasta 10 Gbps)
• Carcasa: Construcción metálica en aluminio negro para disipación térmica óptima
• Instalación fácil y rápida sin herramientas complicadas
• Plug &amp; Play: Compatible con Windows, macOS, Linux, Smart TV y consolas de videojuegos.</t>
        </is>
      </c>
      <c r="X80" s="80" t="inlineStr">
        <is>
          <t>1 unidad nueva. Factura FEVO 34572.</t>
        </is>
      </c>
    </row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mergeCells count="3">
    <mergeCell ref="A2:X2"/>
    <mergeCell ref="A61:I61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10" defaultColWidth="9.140625" defaultRowHeight="15"/>
  <cols>
    <col width="30" customWidth="1" style="52" min="1" max="1"/>
    <col width="14" customWidth="1" style="52" min="2" max="2"/>
    <col width="16" customWidth="1" style="52" min="3" max="4"/>
    <col width="20" customWidth="1" style="52" min="5" max="7"/>
  </cols>
  <sheetData>
    <row r="1" ht="36" customHeight="1" s="52">
      <c r="A1" s="58" t="inlineStr">
        <is>
          <t>PANEL DE CONTROL — VALORIZACIÓN Y ROTACIÓN DE INVENTARIO</t>
        </is>
      </c>
    </row>
    <row r="3">
      <c r="B3" s="59" t="inlineStr">
        <is>
          <t>VALOR TOTAL EN STOCK (COSTO)</t>
        </is>
      </c>
      <c r="D3" s="59" t="inlineStr">
        <is>
          <t>VALOR TOTAL EN STOCK (VENTA)</t>
        </is>
      </c>
      <c r="F3" s="59" t="inlineStr">
        <is>
          <t>UTILIDAD NETA ESTIMADA EN STOCK</t>
        </is>
      </c>
    </row>
    <row r="4" ht="20.25" customHeight="1" s="52">
      <c r="B4" s="63">
        <f>'📦 Inventario Maestro'!M60</f>
        <v/>
      </c>
      <c r="D4" s="61">
        <f>'📦 Inventario Maestro'!O60</f>
        <v/>
      </c>
      <c r="F4" s="60">
        <f>'📦 Inventario Maestro'!S60</f>
        <v/>
      </c>
    </row>
    <row r="7" ht="24.95" customHeight="1" s="52">
      <c r="A7" s="62" t="inlineStr">
        <is>
          <t>DESGLOSE DE MERCANCÍA POR CATEGORÍA</t>
        </is>
      </c>
    </row>
    <row r="8" ht="26.1" customHeight="1" s="52">
      <c r="A8" s="16" t="inlineStr">
        <is>
          <t>Categoría</t>
        </is>
      </c>
      <c r="B8" s="16" t="inlineStr">
        <is>
          <t>Referencias</t>
        </is>
      </c>
      <c r="C8" s="16" t="inlineStr">
        <is>
          <t>Stock Actual</t>
        </is>
      </c>
      <c r="D8" s="16" t="inlineStr">
        <is>
          <t>Histórico Comprado</t>
        </is>
      </c>
      <c r="E8" s="16" t="inlineStr">
        <is>
          <t>Valor Costo Stock</t>
        </is>
      </c>
      <c r="F8" s="16" t="inlineStr">
        <is>
          <t>Valor Venta Stock</t>
        </is>
      </c>
      <c r="G8" s="16" t="inlineStr">
        <is>
          <t>Utilidad en Stock</t>
        </is>
      </c>
    </row>
    <row r="9" ht="21.95" customHeight="1" s="52">
      <c r="A9" s="5" t="inlineStr">
        <is>
          <t>Accesorios y Fundas</t>
        </is>
      </c>
      <c r="B9" s="6">
        <f>COUNTIF('📦 Inventario Maestro'!$C$4:$C$59, A9)</f>
        <v/>
      </c>
      <c r="C9" s="6">
        <f>SUMIF('📦 Inventario Maestro'!$C$4:$C$59, A9, '📦 Inventario Maestro'!$J$4:$J$59)</f>
        <v/>
      </c>
      <c r="D9" s="6">
        <f>SUMIF('📦 Inventario Maestro'!$C$4:$C$59, A9, '📦 Inventario Maestro'!$K$4:$K$59)</f>
        <v/>
      </c>
      <c r="E9" s="7">
        <f>SUMPRODUCT(('📦 Inventario Maestro'!$C$4:$C$59=A9)*('📦 Inventario Maestro'!$M$4:$M$59)*('📦 Inventario Maestro'!$J$4:$J$59))</f>
        <v/>
      </c>
      <c r="F9" s="7">
        <f>SUMPRODUCT(('📦 Inventario Maestro'!$C$4:$C$59=A9)*('📦 Inventario Maestro'!$O$4:$O$59)*('📦 Inventario Maestro'!$J$4:$J$59))</f>
        <v/>
      </c>
      <c r="G9" s="17">
        <f>F9-E9</f>
        <v/>
      </c>
    </row>
    <row r="10" ht="21.95" customHeight="1" s="52">
      <c r="A10" s="11" t="inlineStr">
        <is>
          <t>Almacenamiento y Memorias</t>
        </is>
      </c>
      <c r="B10" s="12">
        <f>COUNTIF('📦 Inventario Maestro'!$C$4:$C$59, A10)</f>
        <v/>
      </c>
      <c r="C10" s="12">
        <f>SUMIF('📦 Inventario Maestro'!$C$4:$C$59, A10, '📦 Inventario Maestro'!$J$4:$J$59)</f>
        <v/>
      </c>
      <c r="D10" s="12">
        <f>SUMIF('📦 Inventario Maestro'!$C$4:$C$59, A10, '📦 Inventario Maestro'!$K$4:$K$59)</f>
        <v/>
      </c>
      <c r="E10" s="13">
        <f>SUMPRODUCT(('📦 Inventario Maestro'!$C$4:$C$59=A10)*('📦 Inventario Maestro'!$M$4:$M$59)*('📦 Inventario Maestro'!$J$4:$J$59))</f>
        <v/>
      </c>
      <c r="F10" s="13">
        <f>SUMPRODUCT(('📦 Inventario Maestro'!$C$4:$C$59=A10)*('📦 Inventario Maestro'!$O$4:$O$59)*('📦 Inventario Maestro'!$J$4:$J$59))</f>
        <v/>
      </c>
      <c r="G10" s="18">
        <f>F10-E10</f>
        <v/>
      </c>
    </row>
    <row r="11" ht="21.95" customHeight="1" s="52">
      <c r="A11" s="5" t="inlineStr">
        <is>
          <t>Cargadores y Fuentes</t>
        </is>
      </c>
      <c r="B11" s="6">
        <f>COUNTIF('📦 Inventario Maestro'!$C$4:$C$59, A11)</f>
        <v/>
      </c>
      <c r="C11" s="6">
        <f>SUMIF('📦 Inventario Maestro'!$C$4:$C$59, A11, '📦 Inventario Maestro'!$J$4:$J$59)</f>
        <v/>
      </c>
      <c r="D11" s="6">
        <f>SUMIF('📦 Inventario Maestro'!$C$4:$C$59, A11, '📦 Inventario Maestro'!$K$4:$K$59)</f>
        <v/>
      </c>
      <c r="E11" s="7">
        <f>SUMPRODUCT(('📦 Inventario Maestro'!$C$4:$C$59=A11)*('📦 Inventario Maestro'!$M$4:$M$59)*('📦 Inventario Maestro'!$J$4:$J$59))</f>
        <v/>
      </c>
      <c r="F11" s="7">
        <f>SUMPRODUCT(('📦 Inventario Maestro'!$C$4:$C$59=A11)*('📦 Inventario Maestro'!$O$4:$O$59)*('📦 Inventario Maestro'!$J$4:$J$59))</f>
        <v/>
      </c>
      <c r="G11" s="17">
        <f>F11-E11</f>
        <v/>
      </c>
    </row>
    <row r="12" ht="21.95" customHeight="1" s="52">
      <c r="A12" s="11" t="inlineStr">
        <is>
          <t>Energía Solar y Electrónica</t>
        </is>
      </c>
      <c r="B12" s="12">
        <f>COUNTIF('📦 Inventario Maestro'!$C$4:$C$59, A12)</f>
        <v/>
      </c>
      <c r="C12" s="12">
        <f>SUMIF('📦 Inventario Maestro'!$C$4:$C$59, A12, '📦 Inventario Maestro'!$J$4:$J$59)</f>
        <v/>
      </c>
      <c r="D12" s="12">
        <f>SUMIF('📦 Inventario Maestro'!$C$4:$C$59, A12, '📦 Inventario Maestro'!$K$4:$K$59)</f>
        <v/>
      </c>
      <c r="E12" s="13">
        <f>SUMPRODUCT(('📦 Inventario Maestro'!$C$4:$C$59=A12)*('📦 Inventario Maestro'!$M$4:$M$59)*('📦 Inventario Maestro'!$J$4:$J$59))</f>
        <v/>
      </c>
      <c r="F12" s="13">
        <f>SUMPRODUCT(('📦 Inventario Maestro'!$C$4:$C$59=A12)*('📦 Inventario Maestro'!$O$4:$O$59)*('📦 Inventario Maestro'!$J$4:$J$59))</f>
        <v/>
      </c>
      <c r="G12" s="18">
        <f>F12-E12</f>
        <v/>
      </c>
    </row>
    <row r="13" ht="21.95" customHeight="1" s="52">
      <c r="A13" s="5" t="inlineStr">
        <is>
          <t>Energía y Respaldo / Reguladores</t>
        </is>
      </c>
      <c r="B13" s="6">
        <f>COUNTIF('📦 Inventario Maestro'!$C$4:$C$59, A13)</f>
        <v/>
      </c>
      <c r="C13" s="6">
        <f>SUMIF('📦 Inventario Maestro'!$C$4:$C$59, A13, '📦 Inventario Maestro'!$J$4:$J$59)</f>
        <v/>
      </c>
      <c r="D13" s="6">
        <f>SUMIF('📦 Inventario Maestro'!$C$4:$C$59, A13, '📦 Inventario Maestro'!$K$4:$K$59)</f>
        <v/>
      </c>
      <c r="E13" s="7">
        <f>SUMPRODUCT(('📦 Inventario Maestro'!$C$4:$C$59=A13)*('📦 Inventario Maestro'!$M$4:$M$59)*('📦 Inventario Maestro'!$J$4:$J$59))</f>
        <v/>
      </c>
      <c r="F13" s="7">
        <f>SUMPRODUCT(('📦 Inventario Maestro'!$C$4:$C$59=A13)*('📦 Inventario Maestro'!$O$4:$O$59)*('📦 Inventario Maestro'!$J$4:$J$59))</f>
        <v/>
      </c>
      <c r="G13" s="17">
        <f>F13-E13</f>
        <v/>
      </c>
    </row>
    <row r="14" ht="21.95" customHeight="1" s="52">
      <c r="A14" s="11" t="inlineStr">
        <is>
          <t>Energía y Respaldo / UPS</t>
        </is>
      </c>
      <c r="B14" s="12">
        <f>COUNTIF('📦 Inventario Maestro'!$C$4:$C$59, A14)</f>
        <v/>
      </c>
      <c r="C14" s="12">
        <f>SUMIF('📦 Inventario Maestro'!$C$4:$C$59, A14, '📦 Inventario Maestro'!$J$4:$J$59)</f>
        <v/>
      </c>
      <c r="D14" s="12">
        <f>SUMIF('📦 Inventario Maestro'!$C$4:$C$59, A14, '📦 Inventario Maestro'!$K$4:$K$59)</f>
        <v/>
      </c>
      <c r="E14" s="13">
        <f>SUMPRODUCT(('📦 Inventario Maestro'!$C$4:$C$59=A14)*('📦 Inventario Maestro'!$M$4:$M$59)*('📦 Inventario Maestro'!$J$4:$J$59))</f>
        <v/>
      </c>
      <c r="F14" s="13">
        <f>SUMPRODUCT(('📦 Inventario Maestro'!$C$4:$C$59=A14)*('📦 Inventario Maestro'!$O$4:$O$59)*('📦 Inventario Maestro'!$J$4:$J$59))</f>
        <v/>
      </c>
      <c r="G14" s="18">
        <f>F14-E14</f>
        <v/>
      </c>
    </row>
    <row r="15" ht="21.95" customHeight="1" s="52">
      <c r="A15" s="5" t="inlineStr">
        <is>
          <t>Estaciones de Trabajo / Laptops Pro</t>
        </is>
      </c>
      <c r="B15" s="6">
        <f>COUNTIF('📦 Inventario Maestro'!$C$4:$C$59, A15)</f>
        <v/>
      </c>
      <c r="C15" s="6">
        <f>SUMIF('📦 Inventario Maestro'!$C$4:$C$59, A15, '📦 Inventario Maestro'!$J$4:$J$59)</f>
        <v/>
      </c>
      <c r="D15" s="6">
        <f>SUMIF('📦 Inventario Maestro'!$C$4:$C$59, A15, '📦 Inventario Maestro'!$K$4:$K$59)</f>
        <v/>
      </c>
      <c r="E15" s="7">
        <f>SUMPRODUCT(('📦 Inventario Maestro'!$C$4:$C$59=A15)*('📦 Inventario Maestro'!$M$4:$M$59)*('📦 Inventario Maestro'!$J$4:$J$59))</f>
        <v/>
      </c>
      <c r="F15" s="7">
        <f>SUMPRODUCT(('📦 Inventario Maestro'!$C$4:$C$59=A15)*('📦 Inventario Maestro'!$O$4:$O$59)*('📦 Inventario Maestro'!$J$4:$J$59))</f>
        <v/>
      </c>
      <c r="G15" s="17">
        <f>F15-E15</f>
        <v/>
      </c>
    </row>
    <row r="16" ht="21.95" customHeight="1" s="52">
      <c r="A16" s="11" t="inlineStr">
        <is>
          <t>Impresión POS y Facturación</t>
        </is>
      </c>
      <c r="B16" s="12">
        <f>COUNTIF('📦 Inventario Maestro'!$C$4:$C$59, A16)</f>
        <v/>
      </c>
      <c r="C16" s="12">
        <f>SUMIF('📦 Inventario Maestro'!$C$4:$C$59, A16, '📦 Inventario Maestro'!$J$4:$J$59)</f>
        <v/>
      </c>
      <c r="D16" s="12">
        <f>SUMIF('📦 Inventario Maestro'!$C$4:$C$59, A16, '📦 Inventario Maestro'!$K$4:$K$59)</f>
        <v/>
      </c>
      <c r="E16" s="13">
        <f>SUMPRODUCT(('📦 Inventario Maestro'!$C$4:$C$59=A16)*('📦 Inventario Maestro'!$M$4:$M$59)*('📦 Inventario Maestro'!$J$4:$J$59))</f>
        <v/>
      </c>
      <c r="F16" s="13">
        <f>SUMPRODUCT(('📦 Inventario Maestro'!$C$4:$C$59=A16)*('📦 Inventario Maestro'!$O$4:$O$59)*('📦 Inventario Maestro'!$J$4:$J$59))</f>
        <v/>
      </c>
      <c r="G16" s="18">
        <f>F16-E16</f>
        <v/>
      </c>
    </row>
    <row r="17" ht="21.95" customHeight="1" s="52">
      <c r="A17" s="5" t="inlineStr">
        <is>
          <t>Impresión y Multifuncionales</t>
        </is>
      </c>
      <c r="B17" s="6">
        <f>COUNTIF('📦 Inventario Maestro'!$C$4:$C$59, A17)</f>
        <v/>
      </c>
      <c r="C17" s="6">
        <f>SUMIF('📦 Inventario Maestro'!$C$4:$C$59, A17, '📦 Inventario Maestro'!$J$4:$J$59)</f>
        <v/>
      </c>
      <c r="D17" s="6">
        <f>SUMIF('📦 Inventario Maestro'!$C$4:$C$59, A17, '📦 Inventario Maestro'!$K$4:$K$59)</f>
        <v/>
      </c>
      <c r="E17" s="7">
        <f>SUMPRODUCT(('📦 Inventario Maestro'!$C$4:$C$59=A17)*('📦 Inventario Maestro'!$M$4:$M$59)*('📦 Inventario Maestro'!$J$4:$J$59))</f>
        <v/>
      </c>
      <c r="F17" s="7">
        <f>SUMPRODUCT(('📦 Inventario Maestro'!$C$4:$C$59=A17)*('📦 Inventario Maestro'!$O$4:$O$59)*('📦 Inventario Maestro'!$J$4:$J$59))</f>
        <v/>
      </c>
      <c r="G17" s="17">
        <f>F17-E17</f>
        <v/>
      </c>
    </row>
    <row r="18" ht="21.95" customHeight="1" s="52">
      <c r="A18" s="11" t="inlineStr">
        <is>
          <t>Monitores y Pantallas</t>
        </is>
      </c>
      <c r="B18" s="12">
        <f>COUNTIF('📦 Inventario Maestro'!$C$4:$C$59, A18)</f>
        <v/>
      </c>
      <c r="C18" s="12">
        <f>SUMIF('📦 Inventario Maestro'!$C$4:$C$59, A18, '📦 Inventario Maestro'!$J$4:$J$59)</f>
        <v/>
      </c>
      <c r="D18" s="12">
        <f>SUMIF('📦 Inventario Maestro'!$C$4:$C$59, A18, '📦 Inventario Maestro'!$K$4:$K$59)</f>
        <v/>
      </c>
      <c r="E18" s="13">
        <f>SUMPRODUCT(('📦 Inventario Maestro'!$C$4:$C$59=A18)*('📦 Inventario Maestro'!$M$4:$M$59)*('📦 Inventario Maestro'!$J$4:$J$59))</f>
        <v/>
      </c>
      <c r="F18" s="13">
        <f>SUMPRODUCT(('📦 Inventario Maestro'!$C$4:$C$59=A18)*('📦 Inventario Maestro'!$O$4:$O$59)*('📦 Inventario Maestro'!$J$4:$J$59))</f>
        <v/>
      </c>
      <c r="G18" s="18">
        <f>F18-E18</f>
        <v/>
      </c>
    </row>
    <row r="19" ht="21.95" customHeight="1" s="52">
      <c r="A19" s="5" t="inlineStr">
        <is>
          <t>Periféricos y Accesorios</t>
        </is>
      </c>
      <c r="B19" s="6">
        <f>COUNTIF('📦 Inventario Maestro'!$C$4:$C$59, A19)</f>
        <v/>
      </c>
      <c r="C19" s="6">
        <f>SUMIF('📦 Inventario Maestro'!$C$4:$C$59, A19, '📦 Inventario Maestro'!$J$4:$J$59)</f>
        <v/>
      </c>
      <c r="D19" s="6">
        <f>SUMIF('📦 Inventario Maestro'!$C$4:$C$59, A19, '📦 Inventario Maestro'!$K$4:$K$59)</f>
        <v/>
      </c>
      <c r="E19" s="7">
        <f>SUMPRODUCT(('📦 Inventario Maestro'!$C$4:$C$59=A19)*('📦 Inventario Maestro'!$M$4:$M$59)*('📦 Inventario Maestro'!$J$4:$J$59))</f>
        <v/>
      </c>
      <c r="F19" s="7">
        <f>SUMPRODUCT(('📦 Inventario Maestro'!$C$4:$C$59=A19)*('📦 Inventario Maestro'!$O$4:$O$59)*('📦 Inventario Maestro'!$J$4:$J$59))</f>
        <v/>
      </c>
      <c r="G19" s="17">
        <f>F19-E19</f>
        <v/>
      </c>
    </row>
    <row r="20" ht="21.95" customHeight="1" s="52">
      <c r="A20" s="11" t="inlineStr">
        <is>
          <t>Portátiles y Equipos</t>
        </is>
      </c>
      <c r="B20" s="12">
        <f>COUNTIF('📦 Inventario Maestro'!$C$4:$C$59, A20)</f>
        <v/>
      </c>
      <c r="C20" s="12">
        <f>SUMIF('📦 Inventario Maestro'!$C$4:$C$59, A20, '📦 Inventario Maestro'!$J$4:$J$59)</f>
        <v/>
      </c>
      <c r="D20" s="12">
        <f>SUMIF('📦 Inventario Maestro'!$C$4:$C$59, A20, '📦 Inventario Maestro'!$K$4:$K$59)</f>
        <v/>
      </c>
      <c r="E20" s="13">
        <f>SUMPRODUCT(('📦 Inventario Maestro'!$C$4:$C$59=A20)*('📦 Inventario Maestro'!$M$4:$M$59)*('📦 Inventario Maestro'!$J$4:$J$59))</f>
        <v/>
      </c>
      <c r="F20" s="13">
        <f>SUMPRODUCT(('📦 Inventario Maestro'!$C$4:$C$59=A20)*('📦 Inventario Maestro'!$O$4:$O$59)*('📦 Inventario Maestro'!$J$4:$J$59))</f>
        <v/>
      </c>
      <c r="G20" s="18">
        <f>F20-E20</f>
        <v/>
      </c>
    </row>
    <row r="21" ht="21.95" customHeight="1" s="52">
      <c r="A21" s="5" t="inlineStr">
        <is>
          <t>Puntos de Venta y POS</t>
        </is>
      </c>
      <c r="B21" s="6">
        <f>COUNTIF('📦 Inventario Maestro'!$C$4:$C$59, A21)</f>
        <v/>
      </c>
      <c r="C21" s="6">
        <f>SUMIF('📦 Inventario Maestro'!$C$4:$C$59, A21, '📦 Inventario Maestro'!$J$4:$J$59)</f>
        <v/>
      </c>
      <c r="D21" s="6">
        <f>SUMIF('📦 Inventario Maestro'!$C$4:$C$59, A21, '📦 Inventario Maestro'!$K$4:$K$59)</f>
        <v/>
      </c>
      <c r="E21" s="7">
        <f>SUMPRODUCT(('📦 Inventario Maestro'!$C$4:$C$59=A21)*('📦 Inventario Maestro'!$M$4:$M$59)*('📦 Inventario Maestro'!$J$4:$J$59))</f>
        <v/>
      </c>
      <c r="F21" s="7">
        <f>SUMPRODUCT(('📦 Inventario Maestro'!$C$4:$C$59=A21)*('📦 Inventario Maestro'!$O$4:$O$59)*('📦 Inventario Maestro'!$J$4:$J$59))</f>
        <v/>
      </c>
      <c r="G21" s="17">
        <f>F21-E21</f>
        <v/>
      </c>
    </row>
    <row r="22" ht="21.95" customHeight="1" s="52">
      <c r="A22" s="11" t="inlineStr">
        <is>
          <t>Redes y Adaptadores</t>
        </is>
      </c>
      <c r="B22" s="12">
        <f>COUNTIF('📦 Inventario Maestro'!$C$4:$C$59, A22)</f>
        <v/>
      </c>
      <c r="C22" s="12">
        <f>SUMIF('📦 Inventario Maestro'!$C$4:$C$59, A22, '📦 Inventario Maestro'!$J$4:$J$59)</f>
        <v/>
      </c>
      <c r="D22" s="12">
        <f>SUMIF('📦 Inventario Maestro'!$C$4:$C$59, A22, '📦 Inventario Maestro'!$K$4:$K$59)</f>
        <v/>
      </c>
      <c r="E22" s="13">
        <f>SUMPRODUCT(('📦 Inventario Maestro'!$C$4:$C$59=A22)*('📦 Inventario Maestro'!$M$4:$M$59)*('📦 Inventario Maestro'!$J$4:$J$59))</f>
        <v/>
      </c>
      <c r="F22" s="13">
        <f>SUMPRODUCT(('📦 Inventario Maestro'!$C$4:$C$59=A22)*('📦 Inventario Maestro'!$O$4:$O$59)*('📦 Inventario Maestro'!$J$4:$J$59))</f>
        <v/>
      </c>
      <c r="G22" s="18">
        <f>F22-E22</f>
        <v/>
      </c>
    </row>
    <row r="23" ht="21.95" customHeight="1" s="52">
      <c r="A23" s="5" t="inlineStr">
        <is>
          <t>Redes y Conectividad</t>
        </is>
      </c>
      <c r="B23" s="6">
        <f>COUNTIF('📦 Inventario Maestro'!$C$4:$C$59, A23)</f>
        <v/>
      </c>
      <c r="C23" s="6">
        <f>SUMIF('📦 Inventario Maestro'!$C$4:$C$59, A23, '📦 Inventario Maestro'!$J$4:$J$59)</f>
        <v/>
      </c>
      <c r="D23" s="6">
        <f>SUMIF('📦 Inventario Maestro'!$C$4:$C$59, A23, '📦 Inventario Maestro'!$K$4:$K$59)</f>
        <v/>
      </c>
      <c r="E23" s="7">
        <f>SUMPRODUCT(('📦 Inventario Maestro'!$C$4:$C$59=A23)*('📦 Inventario Maestro'!$M$4:$M$59)*('📦 Inventario Maestro'!$J$4:$J$59))</f>
        <v/>
      </c>
      <c r="F23" s="7">
        <f>SUMPRODUCT(('📦 Inventario Maestro'!$C$4:$C$59=A23)*('📦 Inventario Maestro'!$O$4:$O$59)*('📦 Inventario Maestro'!$J$4:$J$59))</f>
        <v/>
      </c>
      <c r="G23" s="17">
        <f>F23-E23</f>
        <v/>
      </c>
    </row>
    <row r="24" ht="21.95" customHeight="1" s="52">
      <c r="A24" s="11" t="inlineStr">
        <is>
          <t>Seguridad y Videovigilancia</t>
        </is>
      </c>
      <c r="B24" s="12">
        <f>COUNTIF('📦 Inventario Maestro'!$C$4:$C$59, A24)</f>
        <v/>
      </c>
      <c r="C24" s="12">
        <f>SUMIF('📦 Inventario Maestro'!$C$4:$C$59, A24, '📦 Inventario Maestro'!$J$4:$J$59)</f>
        <v/>
      </c>
      <c r="D24" s="12">
        <f>SUMIF('📦 Inventario Maestro'!$C$4:$C$59, A24, '📦 Inventario Maestro'!$K$4:$K$59)</f>
        <v/>
      </c>
      <c r="E24" s="13">
        <f>SUMPRODUCT(('📦 Inventario Maestro'!$C$4:$C$59=A24)*('📦 Inventario Maestro'!$M$4:$M$59)*('📦 Inventario Maestro'!$J$4:$J$59))</f>
        <v/>
      </c>
      <c r="F24" s="13">
        <f>SUMPRODUCT(('📦 Inventario Maestro'!$C$4:$C$59=A24)*('📦 Inventario Maestro'!$O$4:$O$59)*('📦 Inventario Maestro'!$J$4:$J$59))</f>
        <v/>
      </c>
      <c r="G24" s="18">
        <f>F24-E24</f>
        <v/>
      </c>
    </row>
    <row r="25" ht="21.95" customHeight="1" s="52">
      <c r="A25" s="5" t="inlineStr">
        <is>
          <t>Software y Licencias</t>
        </is>
      </c>
      <c r="B25" s="6">
        <f>COUNTIF('📦 Inventario Maestro'!$C$4:$C$59, A25)</f>
        <v/>
      </c>
      <c r="C25" s="6">
        <f>SUMIF('📦 Inventario Maestro'!$C$4:$C$59, A25, '📦 Inventario Maestro'!$J$4:$J$59)</f>
        <v/>
      </c>
      <c r="D25" s="6">
        <f>SUMIF('📦 Inventario Maestro'!$C$4:$C$59, A25, '📦 Inventario Maestro'!$K$4:$K$59)</f>
        <v/>
      </c>
      <c r="E25" s="7">
        <f>SUMPRODUCT(('📦 Inventario Maestro'!$C$4:$C$59=A25)*('📦 Inventario Maestro'!$M$4:$M$59)*('📦 Inventario Maestro'!$J$4:$J$59))</f>
        <v/>
      </c>
      <c r="F25" s="7">
        <f>SUMPRODUCT(('📦 Inventario Maestro'!$C$4:$C$59=A25)*('📦 Inventario Maestro'!$O$4:$O$59)*('📦 Inventario Maestro'!$J$4:$J$59))</f>
        <v/>
      </c>
      <c r="G25" s="17">
        <f>F25-E25</f>
        <v/>
      </c>
    </row>
    <row r="26" ht="21.95" customHeight="1" s="52">
      <c r="A26" s="11" t="inlineStr">
        <is>
          <t>Tintas y Suministros</t>
        </is>
      </c>
      <c r="B26" s="12">
        <f>COUNTIF('📦 Inventario Maestro'!$C$4:$C$59, A26)</f>
        <v/>
      </c>
      <c r="C26" s="12">
        <f>SUMIF('📦 Inventario Maestro'!$C$4:$C$59, A26, '📦 Inventario Maestro'!$J$4:$J$59)</f>
        <v/>
      </c>
      <c r="D26" s="12">
        <f>SUMIF('📦 Inventario Maestro'!$C$4:$C$59, A26, '📦 Inventario Maestro'!$K$4:$K$59)</f>
        <v/>
      </c>
      <c r="E26" s="13">
        <f>SUMPRODUCT(('📦 Inventario Maestro'!$C$4:$C$59=A26)*('📦 Inventario Maestro'!$M$4:$M$59)*('📦 Inventario Maestro'!$J$4:$J$59))</f>
        <v/>
      </c>
      <c r="F26" s="13">
        <f>SUMPRODUCT(('📦 Inventario Maestro'!$C$4:$C$59=A26)*('📦 Inventario Maestro'!$O$4:$O$59)*('📦 Inventario Maestro'!$J$4:$J$59))</f>
        <v/>
      </c>
      <c r="G26" s="18">
        <f>F26-E26</f>
        <v/>
      </c>
    </row>
    <row r="27" ht="24" customHeight="1" s="52">
      <c r="A27" s="19" t="inlineStr">
        <is>
          <t>TOTAL GENERAL</t>
        </is>
      </c>
      <c r="B27" s="15">
        <f>SUM(B9:B26)</f>
        <v/>
      </c>
      <c r="C27" s="15">
        <f>SUM(C9:C26)</f>
        <v/>
      </c>
      <c r="D27" s="15">
        <f>SUM(D9:D26)</f>
        <v/>
      </c>
      <c r="E27" s="20">
        <f>SUM(E9:E26)</f>
        <v/>
      </c>
      <c r="F27" s="20">
        <f>SUM(F9:F26)</f>
        <v/>
      </c>
      <c r="G27" s="20">
        <f>SUM(G9:G26)</f>
        <v/>
      </c>
    </row>
  </sheetData>
  <mergeCells count="8">
    <mergeCell ref="F3:G3"/>
    <mergeCell ref="F4:G4"/>
    <mergeCell ref="A1:G1"/>
    <mergeCell ref="B3:C3"/>
    <mergeCell ref="D4:E4"/>
    <mergeCell ref="A7:G7"/>
    <mergeCell ref="D3:E3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10" defaultColWidth="9.140625" defaultRowHeight="15"/>
  <cols>
    <col width="14" customWidth="1" style="52" min="1" max="1"/>
    <col width="32" customWidth="1" style="52" min="2" max="2"/>
    <col width="20" customWidth="1" style="52" min="3" max="5"/>
    <col width="30" customWidth="1" style="52" min="6" max="6"/>
    <col width="28" customWidth="1" style="52" min="7" max="7"/>
    <col width="18" customWidth="1" style="52" min="8" max="9"/>
    <col width="16" customWidth="1" style="52" min="10" max="10"/>
    <col width="14" customWidth="1" style="52" min="11" max="11"/>
    <col width="20" customWidth="1" style="52" min="12" max="12"/>
    <col width="30" customWidth="1" style="52" min="13" max="13"/>
  </cols>
  <sheetData>
    <row r="1" ht="36" customHeight="1" s="52">
      <c r="A1" s="65" t="inlineStr">
        <is>
          <t>MATRIZ DE TRIAJE 4T — EVALUACIÓN DE EQUIPOS USADOS Y REPUESTOS</t>
        </is>
      </c>
    </row>
    <row r="2" ht="21.95" customHeight="1" s="52">
      <c r="A2" s="64" t="inlineStr">
        <is>
          <t>T1: Venta Inmediata (Listo) | T2: Reacondicionar (Inversión &lt; 40% Venta) | T3: Banco Repuestos Taller | T4: Desecho / Reciclaje RAEE</t>
        </is>
      </c>
    </row>
    <row r="4" ht="26.1" customHeight="1" s="52">
      <c r="A4" s="21" t="inlineStr">
        <is>
          <t>SKU Usado</t>
        </is>
      </c>
      <c r="B4" s="21" t="inlineStr">
        <is>
          <t>Equipo / Componente</t>
        </is>
      </c>
      <c r="C4" s="21" t="inlineStr">
        <is>
          <t>Marca / Modelo</t>
        </is>
      </c>
      <c r="D4" s="21" t="inlineStr">
        <is>
          <t>Código Barras / Serial</t>
        </is>
      </c>
      <c r="E4" s="21" t="inlineStr">
        <is>
          <t>Nivel Triaje (4T)</t>
        </is>
      </c>
      <c r="F4" s="21" t="inlineStr">
        <is>
          <t>Diagnóstico / Estado</t>
        </is>
      </c>
      <c r="G4" s="21" t="inlineStr">
        <is>
          <t>Acción Requerida</t>
        </is>
      </c>
      <c r="H4" s="21" t="inlineStr">
        <is>
          <t>Costo Inversión / Repuesto</t>
        </is>
      </c>
      <c r="I4" s="21" t="inlineStr">
        <is>
          <t>Precio Venta Estimado</t>
        </is>
      </c>
      <c r="J4" s="21" t="inlineStr">
        <is>
          <t>Utilidad Estimada</t>
        </is>
      </c>
      <c r="K4" s="21" t="inlineStr">
        <is>
          <t>Estado Actual</t>
        </is>
      </c>
      <c r="L4" s="21" t="inlineStr">
        <is>
          <t>Ubicación Taller</t>
        </is>
      </c>
      <c r="M4" s="21" t="inlineStr">
        <is>
          <t>Notas Técnicas</t>
        </is>
      </c>
    </row>
    <row r="5" ht="24" customHeight="1" s="52">
      <c r="A5" s="4" t="inlineStr">
        <is>
          <t>MTS-U001</t>
        </is>
      </c>
      <c r="B5" s="5" t="inlineStr">
        <is>
          <t>Portátil HP ProBook 450 G5 Core i5 8va Gen</t>
        </is>
      </c>
      <c r="C5" s="5" t="inlineStr">
        <is>
          <t>HP ProBook 450 G5</t>
        </is>
      </c>
      <c r="D5" s="4" t="inlineStr">
        <is>
          <t>5CD8124XYZ</t>
        </is>
      </c>
      <c r="E5" s="4" t="inlineStr">
        <is>
          <t>T1 - Venta Directa</t>
        </is>
      </c>
      <c r="F5" s="9" t="inlineStr">
        <is>
          <t>Estado estético 9/10, batería dura 2.5h, pantalla perfecta.</t>
        </is>
      </c>
      <c r="G5" s="9" t="inlineStr">
        <is>
          <t>Mantenimiento preventivo + pasta térmica nueva.</t>
        </is>
      </c>
      <c r="H5" s="7" t="n">
        <v>20000</v>
      </c>
      <c r="I5" s="7" t="n">
        <v>850000</v>
      </c>
      <c r="J5" s="17">
        <f>I5-H5</f>
        <v/>
      </c>
      <c r="K5" s="4" t="inlineStr">
        <is>
          <t>Listo para Venta</t>
        </is>
      </c>
      <c r="L5" s="5" t="inlineStr">
        <is>
          <t>Estante Usados - Nivel 1</t>
        </is>
      </c>
      <c r="M5" s="9" t="inlineStr">
        <is>
          <t>Incluye cargador original HP. Se entrega con SSD 256GB y 16GB RAM.</t>
        </is>
      </c>
    </row>
    <row r="6" ht="24" customHeight="1" s="52">
      <c r="A6" s="10" t="inlineStr">
        <is>
          <t>MTS-U002</t>
        </is>
      </c>
      <c r="B6" s="11" t="inlineStr">
        <is>
          <t>Monitor LG 20" LED VGA/DVI</t>
        </is>
      </c>
      <c r="C6" s="11" t="inlineStr">
        <is>
          <t>LG 20M37A</t>
        </is>
      </c>
      <c r="D6" s="10" t="inlineStr">
        <is>
          <t>504NDZK1234</t>
        </is>
      </c>
      <c r="E6" s="10" t="inlineStr">
        <is>
          <t>T1 - Venta Directa</t>
        </is>
      </c>
      <c r="F6" s="14" t="inlineStr">
        <is>
          <t>Pantalla sin rayones ni pixeles muertos, incluye adaptador y cable VGA.</t>
        </is>
      </c>
      <c r="G6" s="14" t="inlineStr">
        <is>
          <t>Limpieza externa y prueba continua de 4 horas.</t>
        </is>
      </c>
      <c r="H6" s="13" t="n">
        <v>5000</v>
      </c>
      <c r="I6" s="13" t="n">
        <v>180000</v>
      </c>
      <c r="J6" s="18">
        <f>I6-H6</f>
        <v/>
      </c>
      <c r="K6" s="10" t="inlineStr">
        <is>
          <t>Listo para Venta</t>
        </is>
      </c>
      <c r="L6" s="11" t="inlineStr">
        <is>
          <t>Estante Usados - Nivel 2</t>
        </is>
      </c>
      <c r="M6" s="14" t="inlineStr">
        <is>
          <t>Ideal para cámaras de seguridad, oficina o segundo monitor.</t>
        </is>
      </c>
    </row>
    <row r="7" ht="24" customHeight="1" s="52">
      <c r="A7" s="4" t="inlineStr">
        <is>
          <t>MTS-U003</t>
        </is>
      </c>
      <c r="B7" s="5" t="inlineStr">
        <is>
          <t>PC Torre Lenovo ThinkCentre M710s Core i5</t>
        </is>
      </c>
      <c r="C7" s="5" t="inlineStr">
        <is>
          <t>Lenovo M710s SFF</t>
        </is>
      </c>
      <c r="D7" s="4" t="inlineStr">
        <is>
          <t>MJ05ABCD</t>
        </is>
      </c>
      <c r="E7" s="4" t="inlineStr">
        <is>
          <t>T2 - Reacondicionar</t>
        </is>
      </c>
      <c r="F7" s="9" t="inlineStr">
        <is>
          <t>Enciende bien, sin disco duro, requiere 8GB RAM adicionales.</t>
        </is>
      </c>
      <c r="G7" s="9" t="inlineStr">
        <is>
          <t>Instalar SSD Kingston 480GB nuevo + 8GB RAM DDR4.</t>
        </is>
      </c>
      <c r="H7" s="7" t="n">
        <v>150000</v>
      </c>
      <c r="I7" s="7" t="n">
        <v>650000</v>
      </c>
      <c r="J7" s="17">
        <f>I7-H7</f>
        <v/>
      </c>
      <c r="K7" s="4" t="inlineStr">
        <is>
          <t>En Proceso Taller</t>
        </is>
      </c>
      <c r="L7" s="5" t="inlineStr">
        <is>
          <t>Mesa de Trabajo 1</t>
        </is>
      </c>
      <c r="M7" s="9" t="inlineStr">
        <is>
          <t>Costo reparación (23%) es muy rentable. Precio de mercado $650.000.</t>
        </is>
      </c>
    </row>
    <row r="8" ht="24" customHeight="1" s="52">
      <c r="A8" s="10" t="inlineStr">
        <is>
          <t>MTS-R001</t>
        </is>
      </c>
      <c r="B8" s="11" t="inlineStr">
        <is>
          <t>Pantalla 15.6" LED 30 Pines Slim FHD (Despiece)</t>
        </is>
      </c>
      <c r="C8" s="11" t="inlineStr">
        <is>
          <t>Dell Inspiron 3593</t>
        </is>
      </c>
      <c r="D8" s="10" t="inlineStr">
        <is>
          <t>N/A</t>
        </is>
      </c>
      <c r="E8" s="10" t="inlineStr">
        <is>
          <t>T3 - Banco Repuestos</t>
        </is>
      </c>
      <c r="F8" s="14" t="inlineStr">
        <is>
          <t>Board con corto en procesador, display 100% operativo.</t>
        </is>
      </c>
      <c r="G8" s="14" t="inlineStr">
        <is>
          <t>Guardar en caja antiestática para cambios de display a clientes.</t>
        </is>
      </c>
      <c r="H8" s="13" t="n">
        <v>0</v>
      </c>
      <c r="I8" s="13" t="n">
        <v>220000</v>
      </c>
      <c r="J8" s="18">
        <f>I8-H8</f>
        <v/>
      </c>
      <c r="K8" s="10" t="inlineStr">
        <is>
          <t>En Stock Repuestos</t>
        </is>
      </c>
      <c r="L8" s="11" t="inlineStr">
        <is>
          <t>Caja Repuestos - Pantallas</t>
        </is>
      </c>
      <c r="M8" s="14" t="inlineStr">
        <is>
          <t>Ahorra comprar display nuevo de $280.000 en reparaciones.</t>
        </is>
      </c>
    </row>
    <row r="9" ht="24" customHeight="1" s="52">
      <c r="A9" s="4" t="inlineStr">
        <is>
          <t>MTS-R002</t>
        </is>
      </c>
      <c r="B9" s="5" t="inlineStr">
        <is>
          <t>Teclado Original Español Lenovo ThinkPad T480</t>
        </is>
      </c>
      <c r="C9" s="5" t="inlineStr">
        <is>
          <t>Lenovo ThinkPad</t>
        </is>
      </c>
      <c r="D9" s="4" t="inlineStr">
        <is>
          <t>N/A</t>
        </is>
      </c>
      <c r="E9" s="4" t="inlineStr">
        <is>
          <t>T3 - Banco Repuestos</t>
        </is>
      </c>
      <c r="F9" s="9" t="inlineStr">
        <is>
          <t>Equipo donante con daño en board. Teclado en perfecto estado.</t>
        </is>
      </c>
      <c r="G9" s="9" t="inlineStr">
        <is>
          <t>Limpieza y prueba de todas las teclas.</t>
        </is>
      </c>
      <c r="H9" s="7" t="n">
        <v>0</v>
      </c>
      <c r="I9" s="7" t="n">
        <v>90000</v>
      </c>
      <c r="J9" s="17">
        <f>I9-H9</f>
        <v/>
      </c>
      <c r="K9" s="4" t="inlineStr">
        <is>
          <t>En Stock Repuestos</t>
        </is>
      </c>
      <c r="L9" s="5" t="inlineStr">
        <is>
          <t>Caja Repuestos - Teclados</t>
        </is>
      </c>
      <c r="M9" s="9" t="inlineStr">
        <is>
          <t>Repuesto genuino de alta rotación para clientes corporativos.</t>
        </is>
      </c>
    </row>
    <row r="10" ht="24" customHeight="1" s="52">
      <c r="A10" s="10" t="inlineStr">
        <is>
          <t>MTS-D001</t>
        </is>
      </c>
      <c r="B10" s="11" t="inlineStr">
        <is>
          <t>Carcasa rota + Board quemada Todo en Uno HP 20"</t>
        </is>
      </c>
      <c r="C10" s="11" t="inlineStr">
        <is>
          <t>HP All-in-One 20</t>
        </is>
      </c>
      <c r="D10" s="10" t="inlineStr">
        <is>
          <t>N/A</t>
        </is>
      </c>
      <c r="E10" s="10" t="inlineStr">
        <is>
          <t>T4 - Desecho / RAEE</t>
        </is>
      </c>
      <c r="F10" s="14" t="inlineStr">
        <is>
          <t>Procesador integrado quemado, pantalla fisurada, carcasa partida.</t>
        </is>
      </c>
      <c r="G10" s="14" t="inlineStr">
        <is>
          <t>Extraer RAM DDR3L y disipador de cobre. Desechar el resto.</t>
        </is>
      </c>
      <c r="H10" s="13" t="n">
        <v>0</v>
      </c>
      <c r="I10" s="13" t="n">
        <v>0</v>
      </c>
      <c r="J10" s="13" t="n">
        <v>0</v>
      </c>
      <c r="K10" s="10" t="inlineStr">
        <is>
          <t>Para Descarte</t>
        </is>
      </c>
      <c r="L10" s="11" t="inlineStr">
        <is>
          <t>Caneca RAEE / Reciclaje</t>
        </is>
      </c>
      <c r="M10" s="14" t="inlineStr">
        <is>
          <t>Liberar espacio físico en el taller.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10" defaultColWidth="9.140625" defaultRowHeight="15"/>
  <cols>
    <col width="38" customWidth="1" style="52" min="1" max="1"/>
    <col width="22" customWidth="1" style="52" min="2" max="2"/>
    <col width="6" customWidth="1" style="52" min="3" max="3"/>
    <col width="32" customWidth="1" style="52" min="4" max="4"/>
    <col width="22" customWidth="1" style="52" min="5" max="5"/>
    <col width="6" customWidth="1" style="52" min="6" max="6"/>
  </cols>
  <sheetData>
    <row r="1" ht="36" customHeight="1" s="52">
      <c r="A1" s="58" t="inlineStr">
        <is>
          <t>CALCULADORA RÁPIDA DE PRECIOS POR CANAL — MAX TECHNOLOGY</t>
        </is>
      </c>
    </row>
    <row r="2" ht="21.95" customHeight="1" s="52">
      <c r="A2" s="66" t="inlineStr">
        <is>
          <t>Escribe el costo de cualquier producto nuevo y el simulador calculará el precio exacto para cada canal.</t>
        </is>
      </c>
    </row>
    <row r="4" ht="26.1" customHeight="1" s="52">
      <c r="A4" s="22" t="inlineStr">
        <is>
          <t>Costo de Compra Neto (con IVA si aplica):</t>
        </is>
      </c>
      <c r="B4" s="23" t="n">
        <v>150000</v>
      </c>
      <c r="D4" s="22" t="inlineStr">
        <is>
          <t>Flete o gastos adicionales:</t>
        </is>
      </c>
      <c r="E4" s="23" t="n">
        <v>5000</v>
      </c>
    </row>
    <row r="5" ht="26.1" customHeight="1" s="52">
      <c r="A5" s="22" t="inlineStr">
        <is>
          <t>Margen Neto Deseado (%):</t>
        </is>
      </c>
      <c r="B5" s="24" t="n">
        <v>0.3</v>
      </c>
      <c r="D5" s="22" t="inlineStr">
        <is>
          <t>Comisión MercadoLibre (%):</t>
        </is>
      </c>
      <c r="E5" s="24" t="n">
        <v>0.16</v>
      </c>
    </row>
    <row r="6" ht="26.1" customHeight="1" s="52">
      <c r="A6" s="22" t="inlineStr">
        <is>
          <t>Costo Flete Envío MercadoLibre (si aplica):</t>
        </is>
      </c>
      <c r="B6" s="23" t="n">
        <v>18000</v>
      </c>
      <c r="D6" s="22" t="inlineStr">
        <is>
          <t>Umbral Envío Gratis ML (COP):</t>
        </is>
      </c>
      <c r="E6" s="23" t="n">
        <v>90000</v>
      </c>
    </row>
    <row r="8" ht="26.1" customHeight="1" s="52">
      <c r="A8" s="22" t="inlineStr">
        <is>
          <t>Costo Total Producto:</t>
        </is>
      </c>
      <c r="B8" s="23">
        <f>B4+E4</f>
        <v/>
      </c>
    </row>
    <row r="10" ht="26.1" customHeight="1" s="52">
      <c r="A10" s="22" t="inlineStr">
        <is>
          <t>PRECIO RECOMENDADO WHATSAPP / DIRECTO:</t>
        </is>
      </c>
      <c r="B10" s="25">
        <f>ROUNDUP(B8/(1-B5), -3)</f>
        <v/>
      </c>
      <c r="D10" s="22" t="inlineStr">
        <is>
          <t>Utilidad Neta Directa:</t>
        </is>
      </c>
      <c r="E10" s="8">
        <f>B10-B8</f>
        <v/>
      </c>
    </row>
    <row r="11" ht="26.1" customHeight="1" s="52">
      <c r="A11" s="22" t="inlineStr">
        <is>
          <t>PRECIO RECOMENDADO MERCADOLIBRE:</t>
        </is>
      </c>
      <c r="B11" s="25">
        <f>ROUNDUP((B8+IF(B10&gt;=E6,B6,0))/(1-B5-E5), -3)</f>
        <v/>
      </c>
      <c r="D11" s="22" t="inlineStr">
        <is>
          <t>Utilidad Neta MercadoLibre:</t>
        </is>
      </c>
      <c r="E11" s="8">
        <f>B11-(B8+IF(B10&gt;=E6,B6,0))-(B11*E5)</f>
        <v/>
      </c>
    </row>
    <row r="12" ht="26.1" customHeight="1" s="52">
      <c r="A12" s="22" t="inlineStr">
        <is>
          <t>PRECIO RECOMENDADO FACEBOOK MARKETPLACE:</t>
        </is>
      </c>
      <c r="B12" s="25">
        <f>B10</f>
        <v/>
      </c>
      <c r="D12" s="22" t="inlineStr">
        <is>
          <t>Margen Real:</t>
        </is>
      </c>
      <c r="E12" s="24">
        <f>IF(B10&gt;0,(B10-B8)/B10,0)</f>
        <v/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2026-09-03T03:59:56Z</dcterms:created>
  <dcterms:modified xmlns:dcterms="http://purl.org/dc/terms/" xmlns:xsi="http://www.w3.org/2001/XMLSchema-instance" xsi:type="dcterms:W3CDTF">2026-10-13T15:21:29Z</dcterms:modified>
  <cp:lastModifiedBy>Viajando sinpresupuesto</cp:lastModifiedBy>
</cp:coreProperties>
</file>